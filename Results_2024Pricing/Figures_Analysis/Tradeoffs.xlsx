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Drive - Washington State University (email.wsu.edu)\Documents\GitHub\BugFlowExperiment_Analysis2026\Results_2024Pricing\Figures_Analysis\"/>
    </mc:Choice>
  </mc:AlternateContent>
  <bookViews>
    <workbookView xWindow="0" yWindow="-120" windowWidth="28800" windowHeight="11100" tabRatio="717" activeTab="4"/>
  </bookViews>
  <sheets>
    <sheet name="Offset_2024Pricing" sheetId="64" r:id="rId1"/>
    <sheet name="Tradeoff_Control" sheetId="51" r:id="rId2"/>
    <sheet name="Graph_Tradeoff_2024_August" sheetId="65" r:id="rId3"/>
    <sheet name="2024price_August_Compare" sheetId="68" r:id="rId4"/>
    <sheet name="2024Pricing_August_5to30MWh" sheetId="70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70" l="1"/>
  <c r="S18" i="70" l="1"/>
  <c r="R18" i="70"/>
  <c r="Q18" i="70"/>
  <c r="L18" i="70"/>
  <c r="K18" i="70"/>
  <c r="J18" i="70"/>
  <c r="S17" i="70"/>
  <c r="R17" i="70"/>
  <c r="Q17" i="70"/>
  <c r="L17" i="70"/>
  <c r="K17" i="70"/>
  <c r="J17" i="70"/>
  <c r="S16" i="70"/>
  <c r="R16" i="70"/>
  <c r="Q16" i="70"/>
  <c r="L16" i="70"/>
  <c r="K16" i="70"/>
  <c r="J16" i="70"/>
  <c r="S15" i="70"/>
  <c r="R15" i="70"/>
  <c r="Q15" i="70"/>
  <c r="L15" i="70"/>
  <c r="K15" i="70"/>
  <c r="J15" i="70"/>
  <c r="S14" i="70"/>
  <c r="R14" i="70"/>
  <c r="Q14" i="70"/>
  <c r="L14" i="70"/>
  <c r="K14" i="70"/>
  <c r="J14" i="70"/>
  <c r="S13" i="70"/>
  <c r="R13" i="70"/>
  <c r="Q13" i="70"/>
  <c r="L13" i="70"/>
  <c r="K13" i="70"/>
  <c r="J13" i="70"/>
  <c r="S12" i="70"/>
  <c r="R12" i="70"/>
  <c r="Q12" i="70"/>
  <c r="L12" i="70"/>
  <c r="K12" i="70"/>
  <c r="J12" i="70"/>
  <c r="S11" i="70"/>
  <c r="Q11" i="70"/>
  <c r="L11" i="70"/>
  <c r="K11" i="70"/>
  <c r="J11" i="70"/>
  <c r="S10" i="70"/>
  <c r="R10" i="70"/>
  <c r="Q10" i="70"/>
  <c r="L10" i="70"/>
  <c r="K10" i="70"/>
  <c r="J10" i="70"/>
  <c r="S9" i="70"/>
  <c r="R9" i="70"/>
  <c r="Q9" i="70"/>
  <c r="L9" i="70"/>
  <c r="K9" i="70"/>
  <c r="J9" i="70"/>
  <c r="S8" i="70"/>
  <c r="R8" i="70"/>
  <c r="Q8" i="70"/>
  <c r="L8" i="70"/>
  <c r="K8" i="70"/>
  <c r="J8" i="70"/>
  <c r="S7" i="70"/>
  <c r="R7" i="70"/>
  <c r="Q7" i="70"/>
  <c r="L7" i="70"/>
  <c r="K7" i="70"/>
  <c r="J7" i="70"/>
  <c r="S6" i="70"/>
  <c r="R6" i="70"/>
  <c r="Q6" i="70"/>
  <c r="L6" i="70"/>
  <c r="K6" i="70"/>
  <c r="J6" i="70"/>
  <c r="AV21" i="68"/>
  <c r="L17" i="68" s="1"/>
  <c r="AU21" i="68"/>
  <c r="L16" i="68" s="1"/>
  <c r="AT21" i="68"/>
  <c r="L15" i="68" s="1"/>
  <c r="AS21" i="68"/>
  <c r="L14" i="68" s="1"/>
  <c r="AR21" i="68"/>
  <c r="AQ21" i="68"/>
  <c r="L12" i="68" s="1"/>
  <c r="AP21" i="68"/>
  <c r="AO21" i="68"/>
  <c r="L10" i="68" s="1"/>
  <c r="AN21" i="68"/>
  <c r="L9" i="68" s="1"/>
  <c r="AM21" i="68"/>
  <c r="L8" i="68" s="1"/>
  <c r="AL21" i="68"/>
  <c r="L7" i="68" s="1"/>
  <c r="AK21" i="68"/>
  <c r="L6" i="68" s="1"/>
  <c r="AV20" i="68"/>
  <c r="AU20" i="68"/>
  <c r="K16" i="68" s="1"/>
  <c r="AT20" i="68"/>
  <c r="K15" i="68" s="1"/>
  <c r="AS20" i="68"/>
  <c r="K14" i="68" s="1"/>
  <c r="AR20" i="68"/>
  <c r="K13" i="68" s="1"/>
  <c r="AQ20" i="68"/>
  <c r="K12" i="68" s="1"/>
  <c r="AP20" i="68"/>
  <c r="K11" i="68" s="1"/>
  <c r="AO20" i="68"/>
  <c r="K10" i="68" s="1"/>
  <c r="AN20" i="68"/>
  <c r="K9" i="68" s="1"/>
  <c r="AM20" i="68"/>
  <c r="K8" i="68" s="1"/>
  <c r="AL20" i="68"/>
  <c r="AK20" i="68"/>
  <c r="K6" i="68" s="1"/>
  <c r="AV19" i="68"/>
  <c r="J17" i="68" s="1"/>
  <c r="AU19" i="68"/>
  <c r="J16" i="68" s="1"/>
  <c r="AT19" i="68"/>
  <c r="J15" i="68" s="1"/>
  <c r="AS19" i="68"/>
  <c r="J14" i="68" s="1"/>
  <c r="AR19" i="68"/>
  <c r="AQ19" i="68"/>
  <c r="J12" i="68" s="1"/>
  <c r="AP19" i="68"/>
  <c r="AO19" i="68"/>
  <c r="AN19" i="68"/>
  <c r="J9" i="68" s="1"/>
  <c r="AM19" i="68"/>
  <c r="J8" i="68" s="1"/>
  <c r="AL19" i="68"/>
  <c r="J7" i="68" s="1"/>
  <c r="AK19" i="68"/>
  <c r="J6" i="68" s="1"/>
  <c r="S18" i="68"/>
  <c r="R18" i="68"/>
  <c r="Q18" i="68"/>
  <c r="E18" i="68"/>
  <c r="D18" i="68"/>
  <c r="C18" i="68"/>
  <c r="S17" i="68"/>
  <c r="R17" i="68"/>
  <c r="Q17" i="68"/>
  <c r="K17" i="68"/>
  <c r="E17" i="68"/>
  <c r="D17" i="68"/>
  <c r="C17" i="68"/>
  <c r="AV16" i="68"/>
  <c r="AU16" i="68"/>
  <c r="AT16" i="68"/>
  <c r="AS16" i="68"/>
  <c r="AR16" i="68"/>
  <c r="AQ16" i="68"/>
  <c r="AP16" i="68"/>
  <c r="AO16" i="68"/>
  <c r="AN16" i="68"/>
  <c r="AM16" i="68"/>
  <c r="AL16" i="68"/>
  <c r="AK16" i="68"/>
  <c r="S16" i="68"/>
  <c r="R16" i="68"/>
  <c r="Q16" i="68"/>
  <c r="E16" i="68"/>
  <c r="D16" i="68"/>
  <c r="C16" i="68"/>
  <c r="AV15" i="68"/>
  <c r="AU15" i="68"/>
  <c r="AT15" i="68"/>
  <c r="AS15" i="68"/>
  <c r="AR15" i="68"/>
  <c r="AQ15" i="68"/>
  <c r="AP15" i="68"/>
  <c r="AO15" i="68"/>
  <c r="AN15" i="68"/>
  <c r="AM15" i="68"/>
  <c r="AL15" i="68"/>
  <c r="AK15" i="68"/>
  <c r="S15" i="68"/>
  <c r="R15" i="68"/>
  <c r="Q15" i="68"/>
  <c r="E15" i="68"/>
  <c r="D15" i="68"/>
  <c r="C15" i="68"/>
  <c r="AV14" i="68"/>
  <c r="AU14" i="68"/>
  <c r="AT14" i="68"/>
  <c r="AS14" i="68"/>
  <c r="AR14" i="68"/>
  <c r="AQ14" i="68"/>
  <c r="AP14" i="68"/>
  <c r="AO14" i="68"/>
  <c r="AN14" i="68"/>
  <c r="AM14" i="68"/>
  <c r="AL14" i="68"/>
  <c r="AK14" i="68"/>
  <c r="S14" i="68"/>
  <c r="R14" i="68"/>
  <c r="Q14" i="68"/>
  <c r="E14" i="68"/>
  <c r="D14" i="68"/>
  <c r="C14" i="68"/>
  <c r="S13" i="68"/>
  <c r="R13" i="68"/>
  <c r="Q13" i="68"/>
  <c r="L13" i="68"/>
  <c r="J13" i="68"/>
  <c r="E13" i="68"/>
  <c r="D13" i="68"/>
  <c r="C13" i="68"/>
  <c r="S12" i="68"/>
  <c r="R12" i="68"/>
  <c r="Q12" i="68"/>
  <c r="E12" i="68"/>
  <c r="D12" i="68"/>
  <c r="C12" i="68"/>
  <c r="AV11" i="68"/>
  <c r="AU11" i="68"/>
  <c r="AT11" i="68"/>
  <c r="AS11" i="68"/>
  <c r="AR11" i="68"/>
  <c r="AQ11" i="68"/>
  <c r="AP11" i="68"/>
  <c r="AO11" i="68"/>
  <c r="AN11" i="68"/>
  <c r="AM11" i="68"/>
  <c r="AL11" i="68"/>
  <c r="AK11" i="68"/>
  <c r="S11" i="68"/>
  <c r="R11" i="68"/>
  <c r="Q11" i="68"/>
  <c r="L11" i="68"/>
  <c r="J11" i="68"/>
  <c r="E11" i="68"/>
  <c r="D11" i="68"/>
  <c r="C11" i="68"/>
  <c r="AV10" i="68"/>
  <c r="AU10" i="68"/>
  <c r="AT10" i="68"/>
  <c r="AS10" i="68"/>
  <c r="AR10" i="68"/>
  <c r="AQ10" i="68"/>
  <c r="AP10" i="68"/>
  <c r="AO10" i="68"/>
  <c r="AN10" i="68"/>
  <c r="AM10" i="68"/>
  <c r="AL10" i="68"/>
  <c r="AK10" i="68"/>
  <c r="S10" i="68"/>
  <c r="R10" i="68"/>
  <c r="Q10" i="68"/>
  <c r="J10" i="68"/>
  <c r="E10" i="68"/>
  <c r="D10" i="68"/>
  <c r="C10" i="68"/>
  <c r="AV9" i="68"/>
  <c r="AU9" i="68"/>
  <c r="AT9" i="68"/>
  <c r="AS9" i="68"/>
  <c r="AR9" i="68"/>
  <c r="AQ9" i="68"/>
  <c r="AP9" i="68"/>
  <c r="AO9" i="68"/>
  <c r="AN9" i="68"/>
  <c r="AM9" i="68"/>
  <c r="AL9" i="68"/>
  <c r="AK9" i="68"/>
  <c r="S9" i="68"/>
  <c r="R9" i="68"/>
  <c r="Q9" i="68"/>
  <c r="E9" i="68"/>
  <c r="D9" i="68"/>
  <c r="C9" i="68"/>
  <c r="S8" i="68"/>
  <c r="R8" i="68"/>
  <c r="Q8" i="68"/>
  <c r="E8" i="68"/>
  <c r="D8" i="68"/>
  <c r="C8" i="68"/>
  <c r="S7" i="68"/>
  <c r="R7" i="68"/>
  <c r="Q7" i="68"/>
  <c r="K7" i="68"/>
  <c r="E7" i="68"/>
  <c r="D7" i="68"/>
  <c r="C7" i="68"/>
  <c r="AV6" i="68"/>
  <c r="AU6" i="68"/>
  <c r="AT6" i="68"/>
  <c r="AS6" i="68"/>
  <c r="AR6" i="68"/>
  <c r="AQ6" i="68"/>
  <c r="AP6" i="68"/>
  <c r="AO6" i="68"/>
  <c r="AN6" i="68"/>
  <c r="AM6" i="68"/>
  <c r="AL6" i="68"/>
  <c r="AK6" i="68"/>
  <c r="S6" i="68"/>
  <c r="R6" i="68"/>
  <c r="Q6" i="68"/>
  <c r="E6" i="68"/>
  <c r="D6" i="68"/>
  <c r="C6" i="68"/>
  <c r="AV5" i="68"/>
  <c r="AU5" i="68"/>
  <c r="AT5" i="68"/>
  <c r="AS5" i="68"/>
  <c r="AR5" i="68"/>
  <c r="AQ5" i="68"/>
  <c r="AP5" i="68"/>
  <c r="AO5" i="68"/>
  <c r="AN5" i="68"/>
  <c r="AM5" i="68"/>
  <c r="AL5" i="68"/>
  <c r="AK5" i="68"/>
  <c r="AV4" i="68"/>
  <c r="AU4" i="68"/>
  <c r="AT4" i="68"/>
  <c r="AS4" i="68"/>
  <c r="AR4" i="68"/>
  <c r="AQ4" i="68"/>
  <c r="AP4" i="68"/>
  <c r="AO4" i="68"/>
  <c r="AN4" i="68"/>
  <c r="AM4" i="68"/>
  <c r="AL4" i="68"/>
  <c r="AK4" i="68"/>
  <c r="X11" i="64" l="1"/>
  <c r="AS23" i="64"/>
  <c r="K62" i="64" l="1"/>
  <c r="AY61" i="64"/>
  <c r="AK60" i="64"/>
  <c r="AV30" i="64"/>
  <c r="AU30" i="64"/>
  <c r="AT30" i="64"/>
  <c r="Z13" i="64" s="1"/>
  <c r="AS30" i="64"/>
  <c r="Z12" i="64" s="1"/>
  <c r="AR30" i="64"/>
  <c r="AQ30" i="64"/>
  <c r="Z10" i="64" s="1"/>
  <c r="AP30" i="64"/>
  <c r="Z9" i="64" s="1"/>
  <c r="AO30" i="64"/>
  <c r="AN30" i="64"/>
  <c r="AM30" i="64"/>
  <c r="AL30" i="64"/>
  <c r="Z5" i="64" s="1"/>
  <c r="AK30" i="64"/>
  <c r="Z4" i="64" s="1"/>
  <c r="AV29" i="64"/>
  <c r="Y15" i="64" s="1"/>
  <c r="AU29" i="64"/>
  <c r="Y14" i="64" s="1"/>
  <c r="AT29" i="64"/>
  <c r="AS29" i="64"/>
  <c r="AR29" i="64"/>
  <c r="Y11" i="64" s="1"/>
  <c r="AQ29" i="64"/>
  <c r="Y10" i="64" s="1"/>
  <c r="AP29" i="64"/>
  <c r="Y9" i="64" s="1"/>
  <c r="AO29" i="64"/>
  <c r="Y8" i="64" s="1"/>
  <c r="AN29" i="64"/>
  <c r="Y7" i="64" s="1"/>
  <c r="AM29" i="64"/>
  <c r="Y6" i="64" s="1"/>
  <c r="AL29" i="64"/>
  <c r="AK29" i="64"/>
  <c r="Y4" i="64" s="1"/>
  <c r="AV28" i="64"/>
  <c r="X15" i="64" s="1"/>
  <c r="AU28" i="64"/>
  <c r="AT28" i="64"/>
  <c r="X13" i="64" s="1"/>
  <c r="AS28" i="64"/>
  <c r="X12" i="64" s="1"/>
  <c r="AR28" i="64"/>
  <c r="AQ28" i="64"/>
  <c r="X10" i="64" s="1"/>
  <c r="AP28" i="64"/>
  <c r="AO28" i="64"/>
  <c r="AN28" i="64"/>
  <c r="X7" i="64" s="1"/>
  <c r="AM28" i="64"/>
  <c r="X6" i="64" s="1"/>
  <c r="AL28" i="64"/>
  <c r="X5" i="64" s="1"/>
  <c r="AK28" i="64"/>
  <c r="AT60" i="64" s="1"/>
  <c r="AV27" i="64"/>
  <c r="S15" i="64" s="1"/>
  <c r="AU27" i="64"/>
  <c r="AT27" i="64"/>
  <c r="AS27" i="64"/>
  <c r="AR27" i="64"/>
  <c r="AQ27" i="64"/>
  <c r="S10" i="64" s="1"/>
  <c r="AP27" i="64"/>
  <c r="AO27" i="64"/>
  <c r="S8" i="64" s="1"/>
  <c r="AN27" i="64"/>
  <c r="S7" i="64" s="1"/>
  <c r="AM27" i="64"/>
  <c r="S6" i="64" s="1"/>
  <c r="AL27" i="64"/>
  <c r="AK27" i="64"/>
  <c r="AV26" i="64"/>
  <c r="AU26" i="64"/>
  <c r="R14" i="64" s="1"/>
  <c r="AT26" i="64"/>
  <c r="R13" i="64" s="1"/>
  <c r="AS26" i="64"/>
  <c r="R12" i="64" s="1"/>
  <c r="AR26" i="64"/>
  <c r="AM61" i="64" s="1"/>
  <c r="AQ26" i="64"/>
  <c r="R10" i="64" s="1"/>
  <c r="AP26" i="64"/>
  <c r="R9" i="64" s="1"/>
  <c r="AO26" i="64"/>
  <c r="AN26" i="64"/>
  <c r="AM26" i="64"/>
  <c r="AL26" i="64"/>
  <c r="AK26" i="64"/>
  <c r="R4" i="64" s="1"/>
  <c r="AV25" i="64"/>
  <c r="AU25" i="64"/>
  <c r="Q14" i="64" s="1"/>
  <c r="AT25" i="64"/>
  <c r="Q13" i="64" s="1"/>
  <c r="AS25" i="64"/>
  <c r="AR25" i="64"/>
  <c r="Q11" i="64" s="1"/>
  <c r="AQ25" i="64"/>
  <c r="AP25" i="64"/>
  <c r="AJ60" i="64" s="1"/>
  <c r="AO25" i="64"/>
  <c r="Q8" i="64" s="1"/>
  <c r="AN25" i="64"/>
  <c r="AI60" i="64" s="1"/>
  <c r="AM25" i="64"/>
  <c r="Q6" i="64" s="1"/>
  <c r="AL25" i="64"/>
  <c r="Q5" i="64" s="1"/>
  <c r="AK25" i="64"/>
  <c r="Q4" i="64" s="1"/>
  <c r="AV24" i="64"/>
  <c r="AU24" i="64"/>
  <c r="AT24" i="64"/>
  <c r="L13" i="64" s="1"/>
  <c r="AS24" i="64"/>
  <c r="L12" i="64" s="1"/>
  <c r="AR24" i="64"/>
  <c r="Y62" i="64" s="1"/>
  <c r="AQ24" i="64"/>
  <c r="L10" i="64" s="1"/>
  <c r="AP24" i="64"/>
  <c r="AO24" i="64"/>
  <c r="AN24" i="64"/>
  <c r="AM24" i="64"/>
  <c r="S62" i="64" s="1"/>
  <c r="AL24" i="64"/>
  <c r="L5" i="64" s="1"/>
  <c r="AK24" i="64"/>
  <c r="L4" i="64" s="1"/>
  <c r="AV23" i="64"/>
  <c r="AU23" i="64"/>
  <c r="K14" i="64" s="1"/>
  <c r="AT23" i="64"/>
  <c r="AR23" i="64"/>
  <c r="AQ23" i="64"/>
  <c r="K10" i="64" s="1"/>
  <c r="AP23" i="64"/>
  <c r="K9" i="64" s="1"/>
  <c r="AO23" i="64"/>
  <c r="K8" i="64" s="1"/>
  <c r="AN23" i="64"/>
  <c r="U61" i="64" s="1"/>
  <c r="AM23" i="64"/>
  <c r="K6" i="64" s="1"/>
  <c r="AL23" i="64"/>
  <c r="K5" i="64" s="1"/>
  <c r="AK23" i="64"/>
  <c r="AV22" i="64"/>
  <c r="AU22" i="64"/>
  <c r="AT22" i="64"/>
  <c r="J13" i="64" s="1"/>
  <c r="AS22" i="64"/>
  <c r="J12" i="64" s="1"/>
  <c r="AR22" i="64"/>
  <c r="Y60" i="64" s="1"/>
  <c r="AQ22" i="64"/>
  <c r="AP22" i="64"/>
  <c r="AO22" i="64"/>
  <c r="AN22" i="64"/>
  <c r="AM22" i="64"/>
  <c r="J6" i="64" s="1"/>
  <c r="AL22" i="64"/>
  <c r="AK22" i="64"/>
  <c r="J4" i="64" s="1"/>
  <c r="AV21" i="64"/>
  <c r="E15" i="64" s="1"/>
  <c r="AU21" i="64"/>
  <c r="AT21" i="64"/>
  <c r="E13" i="64" s="1"/>
  <c r="AS21" i="64"/>
  <c r="E12" i="64" s="1"/>
  <c r="AR21" i="64"/>
  <c r="AQ21" i="64"/>
  <c r="E10" i="64" s="1"/>
  <c r="AP21" i="64"/>
  <c r="E9" i="64" s="1"/>
  <c r="AO21" i="64"/>
  <c r="H62" i="64" s="1"/>
  <c r="AN21" i="64"/>
  <c r="E7" i="64" s="1"/>
  <c r="AM21" i="64"/>
  <c r="AL21" i="64"/>
  <c r="E5" i="64" s="1"/>
  <c r="AK21" i="64"/>
  <c r="AV20" i="64"/>
  <c r="AU20" i="64"/>
  <c r="D14" i="64" s="1"/>
  <c r="AT20" i="64"/>
  <c r="M61" i="64" s="1"/>
  <c r="AS20" i="64"/>
  <c r="L61" i="64" s="1"/>
  <c r="AR20" i="64"/>
  <c r="D11" i="64" s="1"/>
  <c r="AQ20" i="64"/>
  <c r="D10" i="64" s="1"/>
  <c r="AP20" i="64"/>
  <c r="D9" i="64" s="1"/>
  <c r="AO20" i="64"/>
  <c r="AN20" i="64"/>
  <c r="AM20" i="64"/>
  <c r="D6" i="64" s="1"/>
  <c r="AL20" i="64"/>
  <c r="E61" i="64" s="1"/>
  <c r="AK20" i="64"/>
  <c r="D61" i="64" s="1"/>
  <c r="AV19" i="64"/>
  <c r="C15" i="64" s="1"/>
  <c r="AU19" i="64"/>
  <c r="AT19" i="64"/>
  <c r="C13" i="64" s="1"/>
  <c r="AS19" i="64"/>
  <c r="AR19" i="64"/>
  <c r="AQ19" i="64"/>
  <c r="AP19" i="64"/>
  <c r="I60" i="64" s="1"/>
  <c r="AO19" i="64"/>
  <c r="H60" i="64" s="1"/>
  <c r="AN19" i="64"/>
  <c r="C7" i="64" s="1"/>
  <c r="AM19" i="64"/>
  <c r="C6" i="64" s="1"/>
  <c r="AL19" i="64"/>
  <c r="C5" i="64" s="1"/>
  <c r="AK19" i="64"/>
  <c r="C4" i="64" s="1"/>
  <c r="Z15" i="64"/>
  <c r="R15" i="64"/>
  <c r="L15" i="64"/>
  <c r="Z14" i="64"/>
  <c r="X14" i="64"/>
  <c r="L14" i="64"/>
  <c r="Y12" i="64"/>
  <c r="S12" i="64"/>
  <c r="C12" i="64"/>
  <c r="Q10" i="64"/>
  <c r="C10" i="64"/>
  <c r="S9" i="64"/>
  <c r="Q9" i="64"/>
  <c r="Z8" i="64"/>
  <c r="X8" i="64"/>
  <c r="J8" i="64"/>
  <c r="D8" i="64"/>
  <c r="Z7" i="64"/>
  <c r="J7" i="64"/>
  <c r="Z6" i="64"/>
  <c r="L6" i="64"/>
  <c r="S4" i="64"/>
  <c r="K4" i="64"/>
  <c r="E4" i="64"/>
  <c r="D4" i="64"/>
  <c r="R60" i="64" l="1"/>
  <c r="R62" i="64"/>
  <c r="J5" i="64"/>
  <c r="D13" i="64"/>
  <c r="AU62" i="64"/>
  <c r="AV62" i="64"/>
  <c r="L11" i="64"/>
  <c r="S60" i="64"/>
  <c r="V60" i="64"/>
  <c r="Z61" i="64"/>
  <c r="V62" i="64"/>
  <c r="M60" i="64"/>
  <c r="E62" i="64"/>
  <c r="M62" i="64"/>
  <c r="W60" i="64"/>
  <c r="AO62" i="64"/>
  <c r="L9" i="64"/>
  <c r="V61" i="64"/>
  <c r="Z60" i="64"/>
  <c r="Z62" i="64"/>
  <c r="AF61" i="64"/>
  <c r="AJ62" i="64"/>
  <c r="BB62" i="64"/>
  <c r="W61" i="64"/>
  <c r="AT62" i="64"/>
  <c r="D12" i="64"/>
  <c r="C14" i="64"/>
  <c r="AA60" i="64"/>
  <c r="AA62" i="64"/>
  <c r="AG61" i="64"/>
  <c r="AK62" i="64"/>
  <c r="BC60" i="64"/>
  <c r="BC62" i="64"/>
  <c r="AN61" i="64"/>
  <c r="R6" i="64"/>
  <c r="J10" i="64"/>
  <c r="AO61" i="64"/>
  <c r="D5" i="64"/>
  <c r="J14" i="64"/>
  <c r="K60" i="64"/>
  <c r="AX61" i="64"/>
  <c r="E6" i="64"/>
  <c r="AB61" i="64"/>
  <c r="E14" i="64"/>
  <c r="C8" i="64"/>
  <c r="AU60" i="64"/>
  <c r="AA61" i="64"/>
  <c r="R5" i="64"/>
  <c r="C9" i="64"/>
  <c r="BB60" i="64"/>
  <c r="X4" i="64"/>
  <c r="E8" i="64"/>
  <c r="J9" i="64"/>
  <c r="T60" i="64"/>
  <c r="AB60" i="64"/>
  <c r="X61" i="64"/>
  <c r="T62" i="64"/>
  <c r="AB62" i="64"/>
  <c r="AL60" i="64"/>
  <c r="AH61" i="64"/>
  <c r="AP61" i="64"/>
  <c r="BD62" i="64"/>
  <c r="L62" i="64"/>
  <c r="S14" i="64"/>
  <c r="H61" i="64"/>
  <c r="AG60" i="64"/>
  <c r="BD60" i="64"/>
  <c r="AK61" i="64"/>
  <c r="L60" i="64"/>
  <c r="R61" i="64"/>
  <c r="AG62" i="64"/>
  <c r="S61" i="64"/>
  <c r="AP60" i="64"/>
  <c r="AZ62" i="64"/>
  <c r="AO60" i="64"/>
  <c r="K15" i="64"/>
  <c r="W62" i="64"/>
  <c r="F62" i="64"/>
  <c r="R11" i="64"/>
  <c r="Q15" i="64"/>
  <c r="AW61" i="64"/>
  <c r="G62" i="64"/>
  <c r="BA62" i="64"/>
  <c r="Z11" i="64"/>
  <c r="T61" i="64"/>
  <c r="X62" i="64"/>
  <c r="K7" i="64"/>
  <c r="J60" i="64"/>
  <c r="C11" i="64"/>
  <c r="F61" i="64"/>
  <c r="D7" i="64"/>
  <c r="N61" i="64"/>
  <c r="D15" i="64"/>
  <c r="J62" i="64"/>
  <c r="E11" i="64"/>
  <c r="AL62" i="64"/>
  <c r="S11" i="64"/>
  <c r="N60" i="64"/>
  <c r="G61" i="64"/>
  <c r="L7" i="64"/>
  <c r="U60" i="64"/>
  <c r="Y61" i="64"/>
  <c r="K12" i="64"/>
  <c r="U62" i="64"/>
  <c r="L8" i="64"/>
  <c r="Q12" i="64"/>
  <c r="AM60" i="64"/>
  <c r="AI61" i="64"/>
  <c r="AM62" i="64"/>
  <c r="AW60" i="64"/>
  <c r="BA61" i="64"/>
  <c r="AW62" i="64"/>
  <c r="D60" i="64"/>
  <c r="AL61" i="64"/>
  <c r="AZ61" i="64"/>
  <c r="AP62" i="64"/>
  <c r="Q7" i="64"/>
  <c r="R8" i="64"/>
  <c r="J11" i="64"/>
  <c r="AF60" i="64"/>
  <c r="AN60" i="64"/>
  <c r="AJ61" i="64"/>
  <c r="AF62" i="64"/>
  <c r="S5" i="64"/>
  <c r="AN62" i="64"/>
  <c r="S13" i="64"/>
  <c r="AX60" i="64"/>
  <c r="X9" i="64"/>
  <c r="Y5" i="64"/>
  <c r="AT61" i="64"/>
  <c r="Y13" i="64"/>
  <c r="BB61" i="64"/>
  <c r="AX62" i="64"/>
  <c r="E60" i="64"/>
  <c r="AH60" i="64"/>
  <c r="AV60" i="64"/>
  <c r="I61" i="64"/>
  <c r="BD61" i="64"/>
  <c r="N62" i="64"/>
  <c r="R7" i="64"/>
  <c r="K11" i="64"/>
  <c r="K13" i="64"/>
  <c r="J15" i="64"/>
  <c r="AY60" i="64"/>
  <c r="AU61" i="64"/>
  <c r="BC61" i="64"/>
  <c r="AY62" i="64"/>
  <c r="F60" i="64"/>
  <c r="AZ60" i="64"/>
  <c r="J61" i="64"/>
  <c r="D62" i="64"/>
  <c r="G60" i="64"/>
  <c r="BA60" i="64"/>
  <c r="K61" i="64"/>
  <c r="AH62" i="64"/>
  <c r="AI62" i="64"/>
  <c r="X60" i="64"/>
  <c r="AV61" i="64"/>
  <c r="I62" i="64"/>
  <c r="J15" i="51"/>
  <c r="J5" i="51"/>
  <c r="J6" i="51"/>
  <c r="J7" i="51"/>
  <c r="J8" i="51"/>
  <c r="J9" i="51"/>
  <c r="J10" i="51"/>
  <c r="J11" i="51"/>
  <c r="J12" i="51"/>
  <c r="J13" i="51"/>
  <c r="J14" i="51"/>
  <c r="J4" i="51"/>
  <c r="I5" i="51"/>
  <c r="I6" i="51"/>
  <c r="I7" i="51"/>
  <c r="I8" i="51"/>
  <c r="I9" i="51"/>
  <c r="I10" i="51"/>
  <c r="I11" i="51"/>
  <c r="I12" i="51"/>
  <c r="I13" i="51"/>
  <c r="I14" i="51"/>
  <c r="I15" i="51"/>
  <c r="I4" i="51"/>
  <c r="H5" i="51"/>
  <c r="H6" i="51"/>
  <c r="H7" i="51"/>
  <c r="H8" i="51"/>
  <c r="H9" i="51"/>
  <c r="H10" i="51"/>
  <c r="H11" i="51"/>
  <c r="H12" i="51"/>
  <c r="H13" i="51"/>
  <c r="H14" i="51"/>
  <c r="H15" i="51"/>
  <c r="H4" i="51"/>
</calcChain>
</file>

<file path=xl/sharedStrings.xml><?xml version="1.0" encoding="utf-8"?>
<sst xmlns="http://schemas.openxmlformats.org/spreadsheetml/2006/main" count="678" uniqueCount="58">
  <si>
    <t>H0 (weekend=off-peak weekday)</t>
  </si>
  <si>
    <t>H500 (weekend=off-peak weekday +500)</t>
  </si>
  <si>
    <t>H750 (weekend=off-peak weekday +750)</t>
  </si>
  <si>
    <t>H1000 (weekend=off-peak weekday +1000)</t>
  </si>
  <si>
    <t>0.72 MAF</t>
  </si>
  <si>
    <t>0.83 MAF</t>
  </si>
  <si>
    <t>0.94 MAF</t>
  </si>
  <si>
    <t>Case</t>
  </si>
  <si>
    <t>Days</t>
  </si>
  <si>
    <t>V1</t>
  </si>
  <si>
    <t>V2</t>
  </si>
  <si>
    <t>V3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</si>
  <si>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</si>
  <si>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</si>
  <si>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</si>
  <si>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</si>
  <si>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</si>
  <si>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</si>
  <si>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</si>
  <si>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</si>
  <si>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</si>
  <si>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</si>
  <si>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</si>
  <si>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</si>
  <si>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Paste here results from Fstore parameter from the .gdx file.</t>
  </si>
  <si>
    <t>H1</t>
  </si>
  <si>
    <t>H2</t>
  </si>
  <si>
    <t>H3</t>
  </si>
  <si>
    <t>H4</t>
  </si>
  <si>
    <t xml:space="preserve">     </t>
  </si>
  <si>
    <t>Slope (change in hydropower per additional steady low flow day)</t>
  </si>
  <si>
    <t>0 cfs offset</t>
  </si>
  <si>
    <t>500 cfs offset</t>
  </si>
  <si>
    <t>750 cfs offset</t>
  </si>
  <si>
    <t>1000 cfs offset</t>
  </si>
  <si>
    <t>Volume</t>
  </si>
  <si>
    <t>tot_vol</t>
  </si>
  <si>
    <t>Value</t>
  </si>
  <si>
    <t>Offset</t>
  </si>
  <si>
    <t>Nu_SteadyDays</t>
  </si>
  <si>
    <t>H4 (1000 CFS offset) (2024 Pricing) 3day type</t>
  </si>
  <si>
    <t>Paste the following values from Fstore in .xlsx output</t>
  </si>
  <si>
    <t>The graph is controlled by these values</t>
  </si>
  <si>
    <t>H1000 (weekend=off-peak weekday+1000)</t>
  </si>
  <si>
    <t>case13</t>
  </si>
  <si>
    <t>case 13</t>
  </si>
  <si>
    <t>Past the results of market pricing scenarios directly from GDX. file</t>
  </si>
  <si>
    <t>PriceScen1</t>
  </si>
  <si>
    <t>PriceScen2</t>
  </si>
  <si>
    <t>Paste the pricing model results here from the .gdx file.</t>
  </si>
  <si>
    <t xml:space="preserve"> Note : Here on and off Peak Saturady equals to the steady low flow release.</t>
  </si>
  <si>
    <t>Market prices model (+ $5/MWh)</t>
  </si>
  <si>
    <t>Contract Price model</t>
  </si>
  <si>
    <t>Market Price model (+ $5/MWh)</t>
  </si>
  <si>
    <t>Saturday-Sunday-Weekday template Models</t>
  </si>
  <si>
    <t xml:space="preserve">Paste the contract model results here from the .gdx file. </t>
  </si>
  <si>
    <t>Market prices model (+ $30/MWh)</t>
  </si>
  <si>
    <t>Market Price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</si>
</sst>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6C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10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5" fillId="0" borderId="0" xfId="0" applyFont="1"/>
    <xf numFmtId="0" fontId="0" fillId="12" borderId="0" xfId="0" applyFill="1"/>
    <xf numFmtId="0" fontId="0" fillId="13" borderId="0" xfId="0" applyFill="1"/>
    <xf numFmtId="0" fontId="0" fillId="0" borderId="1" xfId="0" applyBorder="1"/>
    <xf numFmtId="2" fontId="0" fillId="0" borderId="0" xfId="0" applyNumberFormat="1"/>
    <xf numFmtId="0" fontId="0" fillId="13" borderId="0" xfId="0" quotePrefix="1" applyFill="1"/>
    <xf numFmtId="0" fontId="5" fillId="4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4" fillId="11" borderId="0" xfId="1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14" borderId="0" xfId="0" applyFill="1" applyAlignment="1">
      <alignment horizontal="center" wrapText="1"/>
    </xf>
    <xf numFmtId="0" fontId="4" fillId="1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4" fillId="16" borderId="0" xfId="0" applyFont="1" applyFill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18" borderId="0" xfId="0" applyFont="1" applyFill="1" applyAlignment="1">
      <alignment horizontal="center" wrapText="1"/>
    </xf>
    <xf numFmtId="0" fontId="1" fillId="16" borderId="1" xfId="0" applyFont="1" applyFill="1" applyBorder="1" applyAlignment="1">
      <alignment horizontal="center" wrapText="1"/>
    </xf>
    <xf numFmtId="0" fontId="8" fillId="17" borderId="0" xfId="0" applyFont="1" applyFill="1" applyAlignment="1">
      <alignment horizont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18" borderId="0" xfId="0" applyFont="1" applyFill="1" applyAlignment="1">
      <alignment horizontal="center"/>
    </xf>
    <xf numFmtId="0" fontId="0" fillId="7" borderId="0" xfId="0" applyFill="1"/>
    <xf numFmtId="0" fontId="7" fillId="19" borderId="0" xfId="0" applyFont="1" applyFill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4" fillId="21" borderId="0" xfId="0" applyFont="1" applyFill="1" applyAlignment="1">
      <alignment horizontal="center" wrapText="1"/>
    </xf>
    <xf numFmtId="0" fontId="1" fillId="21" borderId="1" xfId="0" applyFont="1" applyFill="1" applyBorder="1" applyAlignment="1">
      <alignment horizontal="center" wrapText="1"/>
    </xf>
    <xf numFmtId="0" fontId="0" fillId="21" borderId="1" xfId="0" applyFill="1" applyBorder="1" applyAlignment="1">
      <alignment horizontal="center" wrapText="1"/>
    </xf>
    <xf numFmtId="0" fontId="0" fillId="21" borderId="2" xfId="0" applyFill="1" applyBorder="1" applyAlignment="1">
      <alignment horizontal="center" wrapText="1"/>
    </xf>
    <xf numFmtId="0" fontId="0" fillId="0" borderId="0" xfId="0" applyFill="1"/>
    <xf numFmtId="0" fontId="0" fillId="22" borderId="0" xfId="0" applyFill="1"/>
    <xf numFmtId="0" fontId="4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0" fillId="20" borderId="0" xfId="0" applyFill="1"/>
    <xf numFmtId="0" fontId="4" fillId="3" borderId="4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7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BD9D9"/>
      <color rgb="FFC7A1E3"/>
      <color rgb="FF53F22E"/>
      <color rgb="FF3866E8"/>
      <color rgb="FF85CA3A"/>
      <color rgb="FFFF5050"/>
      <color rgb="FFCC0000"/>
      <color rgb="FFCC3300"/>
      <color rgb="FF448DD0"/>
      <color rgb="FF93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36959952605664E-2"/>
          <c:y val="2.3832933391276998E-2"/>
          <c:w val="0.78042731484203365"/>
          <c:h val="0.88214928532335579"/>
        </c:manualLayout>
      </c:layout>
      <c:scatterChart>
        <c:scatterStyle val="lineMarker"/>
        <c:varyColors val="0"/>
        <c:ser>
          <c:idx val="5"/>
          <c:order val="0"/>
          <c:tx>
            <c:v>V1 H0</c:v>
          </c:tx>
          <c:spPr>
            <a:ln w="25400" cap="rnd">
              <a:solidFill>
                <a:srgbClr val="FFFF75"/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rgbClr val="FFFF75"/>
              </a:solidFill>
              <a:ln w="12700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Offset_2024Pricing!$C$4:$C$15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29.754825530318701</c:v>
                </c:pt>
                <c:pt idx="2">
                  <c:v>29.799358651756997</c:v>
                </c:pt>
                <c:pt idx="3">
                  <c:v>29.898321143842001</c:v>
                </c:pt>
                <c:pt idx="4">
                  <c:v>30.013117634660698</c:v>
                </c:pt>
                <c:pt idx="5">
                  <c:v>30.147878732578299</c:v>
                </c:pt>
                <c:pt idx="6">
                  <c:v>30.147878732578299</c:v>
                </c:pt>
                <c:pt idx="7">
                  <c:v>30.1309031904783</c:v>
                </c:pt>
                <c:pt idx="8">
                  <c:v>29.743840136714901</c:v>
                </c:pt>
                <c:pt idx="9">
                  <c:v>29.3567770829514</c:v>
                </c:pt>
                <c:pt idx="10">
                  <c:v>28.969714029188001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2-411D-91D7-FF834CF8F185}"/>
            </c:ext>
          </c:extLst>
        </c:ser>
        <c:ser>
          <c:idx val="6"/>
          <c:order val="1"/>
          <c:tx>
            <c:v>V2 H0</c:v>
          </c:tx>
          <c:spPr>
            <a:ln w="25400" cap="rnd">
              <a:solidFill>
                <a:srgbClr val="FCF72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CF725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Offset_2024Pricing!$D$4:$D$15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34.383036555092602</c:v>
                </c:pt>
                <c:pt idx="2">
                  <c:v>34.406647657028103</c:v>
                </c:pt>
                <c:pt idx="3">
                  <c:v>34.453869860899097</c:v>
                </c:pt>
                <c:pt idx="4">
                  <c:v>34.501092064770106</c:v>
                </c:pt>
                <c:pt idx="5">
                  <c:v>34.548314268641001</c:v>
                </c:pt>
                <c:pt idx="6">
                  <c:v>34.470901657888298</c:v>
                </c:pt>
                <c:pt idx="7">
                  <c:v>34.393489047135596</c:v>
                </c:pt>
                <c:pt idx="8">
                  <c:v>34.006425993372204</c:v>
                </c:pt>
                <c:pt idx="9">
                  <c:v>33.619362939608799</c:v>
                </c:pt>
                <c:pt idx="10">
                  <c:v>33.2322998858453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2-411D-91D7-FF834CF8F185}"/>
            </c:ext>
          </c:extLst>
        </c:ser>
        <c:ser>
          <c:idx val="7"/>
          <c:order val="2"/>
          <c:tx>
            <c:v>V3 H0</c:v>
          </c:tx>
          <c:spPr>
            <a:ln w="25400" cap="rnd">
              <a:solidFill>
                <a:srgbClr val="FFD347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FFD347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Offset_2024Pricing!$E$4:$E$15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39.045139669245799</c:v>
                </c:pt>
                <c:pt idx="2">
                  <c:v>39.0687507711812</c:v>
                </c:pt>
                <c:pt idx="3">
                  <c:v>39.115972975052202</c:v>
                </c:pt>
                <c:pt idx="4">
                  <c:v>39.163195178923196</c:v>
                </c:pt>
                <c:pt idx="5">
                  <c:v>39.210417382794098</c:v>
                </c:pt>
                <c:pt idx="6">
                  <c:v>39.133004772041502</c:v>
                </c:pt>
                <c:pt idx="7">
                  <c:v>39.0555921612888</c:v>
                </c:pt>
                <c:pt idx="8">
                  <c:v>38.668529107525295</c:v>
                </c:pt>
                <c:pt idx="9">
                  <c:v>38.281466053761896</c:v>
                </c:pt>
                <c:pt idx="10">
                  <c:v>37.894402999998398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22-411D-91D7-FF834CF8F185}"/>
            </c:ext>
          </c:extLst>
        </c:ser>
        <c:ser>
          <c:idx val="8"/>
          <c:order val="3"/>
          <c:tx>
            <c:v>V4 H0</c:v>
          </c:tx>
          <c:spPr>
            <a:ln w="25400" cap="rnd">
              <a:solidFill>
                <a:srgbClr val="FEC200"/>
              </a:solidFill>
              <a:prstDash val="lgDashDot"/>
              <a:round/>
            </a:ln>
            <a:effectLst/>
          </c:spPr>
          <c:marker>
            <c:symbol val="star"/>
            <c:size val="6"/>
            <c:spPr>
              <a:solidFill>
                <a:srgbClr val="FEC20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Offset_2024Pricing!$F$4:$F$15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22-411D-91D7-FF834CF8F185}"/>
            </c:ext>
          </c:extLst>
        </c:ser>
        <c:ser>
          <c:idx val="4"/>
          <c:order val="4"/>
          <c:tx>
            <c:v>V5 H0</c:v>
          </c:tx>
          <c:spPr>
            <a:ln w="22225" cap="rnd">
              <a:solidFill>
                <a:srgbClr val="AC83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AC8300"/>
                </a:solidFill>
              </a:ln>
              <a:effectLst/>
            </c:spPr>
          </c:marker>
          <c:xVal>
            <c:numRef>
              <c:f>Offset_2024Pricing!$G$4:$G$15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22-411D-91D7-FF834CF8F185}"/>
            </c:ext>
          </c:extLst>
        </c:ser>
        <c:ser>
          <c:idx val="0"/>
          <c:order val="5"/>
          <c:tx>
            <c:v>V1 H500</c:v>
          </c:tx>
          <c:spPr>
            <a:ln w="25400" cap="rnd">
              <a:solidFill>
                <a:schemeClr val="accent5">
                  <a:lumMod val="20000"/>
                  <a:lumOff val="8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tx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Offset_2024Pricing!$J$4:$J$15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29.743268908318697</c:v>
                </c:pt>
                <c:pt idx="2">
                  <c:v>29.7757056310673</c:v>
                </c:pt>
                <c:pt idx="3">
                  <c:v>29.848616094953101</c:v>
                </c:pt>
                <c:pt idx="4">
                  <c:v>29.934385788260698</c:v>
                </c:pt>
                <c:pt idx="5">
                  <c:v>30.0363692925783</c:v>
                </c:pt>
                <c:pt idx="6">
                  <c:v>30.031435772578298</c:v>
                </c:pt>
                <c:pt idx="7">
                  <c:v>30.0265022525783</c:v>
                </c:pt>
                <c:pt idx="8">
                  <c:v>29.706657540585802</c:v>
                </c:pt>
                <c:pt idx="9">
                  <c:v>29.331214048112702</c:v>
                </c:pt>
                <c:pt idx="10">
                  <c:v>28.955770555639599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22-411D-91D7-FF834CF8F185}"/>
            </c:ext>
          </c:extLst>
        </c:ser>
        <c:ser>
          <c:idx val="1"/>
          <c:order val="6"/>
          <c:tx>
            <c:v>V2 H500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Offset_2024Pricing!$K$4:$K$15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34.3763553073507</c:v>
                </c:pt>
                <c:pt idx="2">
                  <c:v>34.393285161544199</c:v>
                </c:pt>
                <c:pt idx="3">
                  <c:v>34.427144869931304</c:v>
                </c:pt>
                <c:pt idx="4">
                  <c:v>34.461004578318402</c:v>
                </c:pt>
                <c:pt idx="5">
                  <c:v>34.4948642867055</c:v>
                </c:pt>
                <c:pt idx="6">
                  <c:v>34.419775588210904</c:v>
                </c:pt>
                <c:pt idx="7">
                  <c:v>34.3446868897163</c:v>
                </c:pt>
                <c:pt idx="8">
                  <c:v>33.969243397243204</c:v>
                </c:pt>
                <c:pt idx="9">
                  <c:v>33.593799904770002</c:v>
                </c:pt>
                <c:pt idx="10">
                  <c:v>33.218356412296899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22-411D-91D7-FF834CF8F185}"/>
            </c:ext>
          </c:extLst>
        </c:ser>
        <c:ser>
          <c:idx val="2"/>
          <c:order val="7"/>
          <c:tx>
            <c:v>V3 H500</c:v>
          </c:tx>
          <c:spPr>
            <a:ln w="25400" cap="rnd">
              <a:solidFill>
                <a:srgbClr val="00B0F0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00B0F0"/>
              </a:solidFill>
              <a:ln w="9525">
                <a:solidFill>
                  <a:schemeClr val="tx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Offset_2024Pricing!$L$4:$L$15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39.038458421503798</c:v>
                </c:pt>
                <c:pt idx="2">
                  <c:v>39.055388275697403</c:v>
                </c:pt>
                <c:pt idx="3">
                  <c:v>39.089247984084501</c:v>
                </c:pt>
                <c:pt idx="4">
                  <c:v>39.123107692471599</c:v>
                </c:pt>
                <c:pt idx="5">
                  <c:v>39.156967400858697</c:v>
                </c:pt>
                <c:pt idx="6">
                  <c:v>39.081878702363994</c:v>
                </c:pt>
                <c:pt idx="7">
                  <c:v>39.006790003869398</c:v>
                </c:pt>
                <c:pt idx="8">
                  <c:v>38.631346511396295</c:v>
                </c:pt>
                <c:pt idx="9">
                  <c:v>38.255903018923199</c:v>
                </c:pt>
                <c:pt idx="10">
                  <c:v>37.880459526450096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22-411D-91D7-FF834CF8F185}"/>
            </c:ext>
          </c:extLst>
        </c:ser>
        <c:ser>
          <c:idx val="3"/>
          <c:order val="8"/>
          <c:tx>
            <c:v>V4 H500</c:v>
          </c:tx>
          <c:spPr>
            <a:ln w="25400" cap="rnd">
              <a:solidFill>
                <a:srgbClr val="448DD0"/>
              </a:solidFill>
              <a:prstDash val="lgDashDot"/>
              <a:round/>
            </a:ln>
            <a:effectLst/>
          </c:spPr>
          <c:marker>
            <c:symbol val="square"/>
            <c:size val="6"/>
            <c:spPr>
              <a:solidFill>
                <a:srgbClr val="448DD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Offset_2024Pricing!$M$4:$M$15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22-411D-91D7-FF834CF8F185}"/>
            </c:ext>
          </c:extLst>
        </c:ser>
        <c:ser>
          <c:idx val="9"/>
          <c:order val="9"/>
          <c:tx>
            <c:v>V5 H500</c:v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Offset_2024Pricing!$N$4:$N$15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22-411D-91D7-FF834CF8F185}"/>
            </c:ext>
          </c:extLst>
        </c:ser>
        <c:ser>
          <c:idx val="10"/>
          <c:order val="10"/>
          <c:tx>
            <c:v>V1 H750</c:v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Offset_2024Pricing!$Q$4:$Q$15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29.7374905973187</c:v>
                </c:pt>
                <c:pt idx="2">
                  <c:v>29.7638791207225</c:v>
                </c:pt>
                <c:pt idx="3">
                  <c:v>29.823763570508699</c:v>
                </c:pt>
                <c:pt idx="4">
                  <c:v>29.8950198650607</c:v>
                </c:pt>
                <c:pt idx="5">
                  <c:v>29.9806145725783</c:v>
                </c:pt>
                <c:pt idx="6">
                  <c:v>29.973214292578298</c:v>
                </c:pt>
                <c:pt idx="7">
                  <c:v>29.965814012578303</c:v>
                </c:pt>
                <c:pt idx="8">
                  <c:v>29.688066242521302</c:v>
                </c:pt>
                <c:pt idx="9">
                  <c:v>29.3184325306934</c:v>
                </c:pt>
                <c:pt idx="10">
                  <c:v>28.948798818865399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22-411D-91D7-FF834CF8F185}"/>
            </c:ext>
          </c:extLst>
        </c:ser>
        <c:ser>
          <c:idx val="11"/>
          <c:order val="11"/>
          <c:tx>
            <c:v>V2 H750</c:v>
          </c:tx>
          <c:spPr>
            <a:ln w="22225" cap="rnd">
              <a:solidFill>
                <a:srgbClr val="B7D8A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Offset_2024Pricing!$R$4:$R$15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34.373014683479695</c:v>
                </c:pt>
                <c:pt idx="2">
                  <c:v>34.386603913802304</c:v>
                </c:pt>
                <c:pt idx="3">
                  <c:v>34.4137823744475</c:v>
                </c:pt>
                <c:pt idx="4">
                  <c:v>34.440960835092596</c:v>
                </c:pt>
                <c:pt idx="5">
                  <c:v>34.468139295737799</c:v>
                </c:pt>
                <c:pt idx="6">
                  <c:v>34.394212553372199</c:v>
                </c:pt>
                <c:pt idx="7">
                  <c:v>34.320285811006599</c:v>
                </c:pt>
                <c:pt idx="8">
                  <c:v>33.950652099178598</c:v>
                </c:pt>
                <c:pt idx="9">
                  <c:v>33.581018387350703</c:v>
                </c:pt>
                <c:pt idx="10">
                  <c:v>33.211384675522702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22-411D-91D7-FF834CF8F185}"/>
            </c:ext>
          </c:extLst>
        </c:ser>
        <c:ser>
          <c:idx val="12"/>
          <c:order val="12"/>
          <c:tx>
            <c:v>H3 H750</c:v>
          </c:tx>
          <c:spPr>
            <a:ln w="25400" cap="rnd">
              <a:solidFill>
                <a:srgbClr val="53F22E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53F22E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Offset_2024Pricing!$S$4:$S$15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39.0351177976329</c:v>
                </c:pt>
                <c:pt idx="2">
                  <c:v>39.048707027955395</c:v>
                </c:pt>
                <c:pt idx="3">
                  <c:v>39.075885488600598</c:v>
                </c:pt>
                <c:pt idx="4">
                  <c:v>39.103063949245801</c:v>
                </c:pt>
                <c:pt idx="5">
                  <c:v>39.130242409890897</c:v>
                </c:pt>
                <c:pt idx="6">
                  <c:v>39.056315667525297</c:v>
                </c:pt>
                <c:pt idx="7">
                  <c:v>38.982388925159697</c:v>
                </c:pt>
                <c:pt idx="8">
                  <c:v>38.612755213331802</c:v>
                </c:pt>
                <c:pt idx="9">
                  <c:v>38.243121501503801</c:v>
                </c:pt>
                <c:pt idx="10">
                  <c:v>37.873487789675899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22-411D-91D7-FF834CF8F185}"/>
            </c:ext>
          </c:extLst>
        </c:ser>
        <c:ser>
          <c:idx val="13"/>
          <c:order val="13"/>
          <c:tx>
            <c:v>V4 H750</c:v>
          </c:tx>
          <c:spPr>
            <a:ln w="25400" cap="rnd">
              <a:solidFill>
                <a:srgbClr val="85CA3A"/>
              </a:solidFill>
              <a:prstDash val="lgDashDot"/>
              <a:round/>
            </a:ln>
            <a:effectLst/>
          </c:spPr>
          <c:marker>
            <c:symbol val="square"/>
            <c:size val="6"/>
            <c:spPr>
              <a:solidFill>
                <a:srgbClr val="85CA3A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Offset_2024Pricing!$T$4:$T$15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22-411D-91D7-FF834CF8F185}"/>
            </c:ext>
          </c:extLst>
        </c:ser>
        <c:ser>
          <c:idx val="14"/>
          <c:order val="14"/>
          <c:tx>
            <c:v>V5 H750</c:v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Offset_2024Pricing!$U$4:$U$15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22-411D-91D7-FF834CF8F185}"/>
            </c:ext>
          </c:extLst>
        </c:ser>
        <c:ser>
          <c:idx val="15"/>
          <c:order val="15"/>
          <c:tx>
            <c:v>V1 H1000</c:v>
          </c:tx>
          <c:spPr>
            <a:ln w="25400" cap="rnd">
              <a:solidFill>
                <a:schemeClr val="accent2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Offset_2024Pricing!$X$4:$X$15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29.7317122863187</c:v>
                </c:pt>
                <c:pt idx="2">
                  <c:v>29.7520526103776</c:v>
                </c:pt>
                <c:pt idx="3">
                  <c:v>29.798911046064298</c:v>
                </c:pt>
                <c:pt idx="4">
                  <c:v>29.855653941860698</c:v>
                </c:pt>
                <c:pt idx="5">
                  <c:v>29.924859852578301</c:v>
                </c:pt>
                <c:pt idx="6">
                  <c:v>29.914992812578298</c:v>
                </c:pt>
                <c:pt idx="7">
                  <c:v>29.905125772578298</c:v>
                </c:pt>
                <c:pt idx="8">
                  <c:v>29.669474944456802</c:v>
                </c:pt>
                <c:pt idx="9">
                  <c:v>29.305651013273998</c:v>
                </c:pt>
                <c:pt idx="10">
                  <c:v>28.941827082091201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22-411D-91D7-FF834CF8F185}"/>
            </c:ext>
          </c:extLst>
        </c:ser>
        <c:ser>
          <c:idx val="16"/>
          <c:order val="16"/>
          <c:tx>
            <c:v>V2 H1000</c:v>
          </c:tx>
          <c:spPr>
            <a:ln w="25400" cap="rnd">
              <a:solidFill>
                <a:srgbClr val="F8A69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F8A69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Offset_2024Pricing!$Y$4:$Y$15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34.369674059608805</c:v>
                </c:pt>
                <c:pt idx="2">
                  <c:v>34.379922666060402</c:v>
                </c:pt>
                <c:pt idx="3">
                  <c:v>34.400419878963596</c:v>
                </c:pt>
                <c:pt idx="4">
                  <c:v>34.420917091866798</c:v>
                </c:pt>
                <c:pt idx="5">
                  <c:v>34.441414304769999</c:v>
                </c:pt>
                <c:pt idx="6">
                  <c:v>34.368649518533495</c:v>
                </c:pt>
                <c:pt idx="7">
                  <c:v>34.295884732296898</c:v>
                </c:pt>
                <c:pt idx="8">
                  <c:v>33.932060801114098</c:v>
                </c:pt>
                <c:pt idx="9">
                  <c:v>33.568236869931305</c:v>
                </c:pt>
                <c:pt idx="10">
                  <c:v>33.204412938748504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22-411D-91D7-FF834CF8F185}"/>
            </c:ext>
          </c:extLst>
        </c:ser>
        <c:ser>
          <c:idx val="17"/>
          <c:order val="17"/>
          <c:tx>
            <c:v>V3 H1000</c:v>
          </c:tx>
          <c:spPr>
            <a:ln w="25400" cap="rnd">
              <a:solidFill>
                <a:srgbClr val="FF7575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FF7575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Offset_2024Pricing!$Z$4:$Z$15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39.031777173761895</c:v>
                </c:pt>
                <c:pt idx="2">
                  <c:v>39.0420257802135</c:v>
                </c:pt>
                <c:pt idx="3">
                  <c:v>39.062522993116701</c:v>
                </c:pt>
                <c:pt idx="4">
                  <c:v>39.083020206019995</c:v>
                </c:pt>
                <c:pt idx="5">
                  <c:v>39.103517418923197</c:v>
                </c:pt>
                <c:pt idx="6">
                  <c:v>39.0307526326866</c:v>
                </c:pt>
                <c:pt idx="7">
                  <c:v>38.957987846450095</c:v>
                </c:pt>
                <c:pt idx="8">
                  <c:v>38.594163915267302</c:v>
                </c:pt>
                <c:pt idx="9">
                  <c:v>38.230339984084502</c:v>
                </c:pt>
                <c:pt idx="10">
                  <c:v>37.866516052901702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422-411D-91D7-FF834CF8F185}"/>
            </c:ext>
          </c:extLst>
        </c:ser>
        <c:ser>
          <c:idx val="18"/>
          <c:order val="18"/>
          <c:tx>
            <c:v>V4 H1000</c:v>
          </c:tx>
          <c:spPr>
            <a:ln w="22225" cap="rnd">
              <a:solidFill>
                <a:srgbClr val="FF0000"/>
              </a:solidFill>
              <a:prstDash val="lgDashDot"/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Offset_2024Pricing!$AA$4:$AA$15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422-411D-91D7-FF834CF8F185}"/>
            </c:ext>
          </c:extLst>
        </c:ser>
        <c:ser>
          <c:idx val="19"/>
          <c:order val="19"/>
          <c:tx>
            <c:v>V5 H1000</c:v>
          </c:tx>
          <c:spPr>
            <a:ln w="22225" cap="rnd">
              <a:solidFill>
                <a:srgbClr val="DA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DA0000"/>
                </a:solidFill>
              </a:ln>
              <a:effectLst/>
            </c:spPr>
          </c:marker>
          <c:xVal>
            <c:numRef>
              <c:f>Offset_2024Pricing!$AB$4:$AB$15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422-411D-91D7-FF834CF8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/>
      </c:scatterChart>
      <c:valAx>
        <c:axId val="1211617856"/>
        <c:scaling>
          <c:orientation val="minMax"/>
          <c:max val="3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>
                    <a:effectLst/>
                  </a:rPr>
                  <a:t>Hydropower Revenue Generated (Million $) </a:t>
                </a:r>
                <a:endParaRPr lang="en-US" sz="1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inorUnit val="1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baseline="0">
                    <a:effectLst/>
                  </a:rPr>
                  <a:t>Number of Steady low Flow Days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1097906737802823E-2"/>
              <c:y val="0.25173257425805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1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36959952605664E-2"/>
          <c:y val="2.3832933391276998E-2"/>
          <c:w val="0.79214895618090331"/>
          <c:h val="0.88214928532335579"/>
        </c:manualLayout>
      </c:layout>
      <c:scatterChart>
        <c:scatterStyle val="lineMarker"/>
        <c:varyColors val="0"/>
        <c:ser>
          <c:idx val="5"/>
          <c:order val="0"/>
          <c:tx>
            <c:v>V1 H0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12700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Offset_2024Pricing!$C$4:$C$15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29.754825530318701</c:v>
                </c:pt>
                <c:pt idx="2">
                  <c:v>29.799358651756997</c:v>
                </c:pt>
                <c:pt idx="3">
                  <c:v>29.898321143842001</c:v>
                </c:pt>
                <c:pt idx="4">
                  <c:v>30.013117634660698</c:v>
                </c:pt>
                <c:pt idx="5">
                  <c:v>30.147878732578299</c:v>
                </c:pt>
                <c:pt idx="6">
                  <c:v>30.147878732578299</c:v>
                </c:pt>
                <c:pt idx="7">
                  <c:v>30.1309031904783</c:v>
                </c:pt>
                <c:pt idx="8">
                  <c:v>29.743840136714901</c:v>
                </c:pt>
                <c:pt idx="9">
                  <c:v>29.3567770829514</c:v>
                </c:pt>
                <c:pt idx="10">
                  <c:v>28.969714029188001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7-4EAA-A6FC-7200EF320070}"/>
            </c:ext>
          </c:extLst>
        </c:ser>
        <c:ser>
          <c:idx val="6"/>
          <c:order val="1"/>
          <c:tx>
            <c:v>V2 H0</c:v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Offset_2024Pricing!$D$4:$D$15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34.383036555092602</c:v>
                </c:pt>
                <c:pt idx="2">
                  <c:v>34.406647657028103</c:v>
                </c:pt>
                <c:pt idx="3">
                  <c:v>34.453869860899097</c:v>
                </c:pt>
                <c:pt idx="4">
                  <c:v>34.501092064770106</c:v>
                </c:pt>
                <c:pt idx="5">
                  <c:v>34.548314268641001</c:v>
                </c:pt>
                <c:pt idx="6">
                  <c:v>34.470901657888298</c:v>
                </c:pt>
                <c:pt idx="7">
                  <c:v>34.393489047135596</c:v>
                </c:pt>
                <c:pt idx="8">
                  <c:v>34.006425993372204</c:v>
                </c:pt>
                <c:pt idx="9">
                  <c:v>33.619362939608799</c:v>
                </c:pt>
                <c:pt idx="10">
                  <c:v>33.2322998858453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B7-4EAA-A6FC-7200EF320070}"/>
            </c:ext>
          </c:extLst>
        </c:ser>
        <c:ser>
          <c:idx val="7"/>
          <c:order val="2"/>
          <c:tx>
            <c:v>V3 H0</c:v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Offset_2024Pricing!$E$4:$E$15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39.045139669245799</c:v>
                </c:pt>
                <c:pt idx="2">
                  <c:v>39.0687507711812</c:v>
                </c:pt>
                <c:pt idx="3">
                  <c:v>39.115972975052202</c:v>
                </c:pt>
                <c:pt idx="4">
                  <c:v>39.163195178923196</c:v>
                </c:pt>
                <c:pt idx="5">
                  <c:v>39.210417382794098</c:v>
                </c:pt>
                <c:pt idx="6">
                  <c:v>39.133004772041502</c:v>
                </c:pt>
                <c:pt idx="7">
                  <c:v>39.0555921612888</c:v>
                </c:pt>
                <c:pt idx="8">
                  <c:v>38.668529107525295</c:v>
                </c:pt>
                <c:pt idx="9">
                  <c:v>38.281466053761896</c:v>
                </c:pt>
                <c:pt idx="10">
                  <c:v>37.894402999998398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B7-4EAA-A6FC-7200EF320070}"/>
            </c:ext>
          </c:extLst>
        </c:ser>
        <c:ser>
          <c:idx val="0"/>
          <c:order val="3"/>
          <c:tx>
            <c:v>V1 H500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Offset_2024Pricing!$J$4:$J$15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29.743268908318697</c:v>
                </c:pt>
                <c:pt idx="2">
                  <c:v>29.7757056310673</c:v>
                </c:pt>
                <c:pt idx="3">
                  <c:v>29.848616094953101</c:v>
                </c:pt>
                <c:pt idx="4">
                  <c:v>29.934385788260698</c:v>
                </c:pt>
                <c:pt idx="5">
                  <c:v>30.0363692925783</c:v>
                </c:pt>
                <c:pt idx="6">
                  <c:v>30.031435772578298</c:v>
                </c:pt>
                <c:pt idx="7">
                  <c:v>30.0265022525783</c:v>
                </c:pt>
                <c:pt idx="8">
                  <c:v>29.706657540585802</c:v>
                </c:pt>
                <c:pt idx="9">
                  <c:v>29.331214048112702</c:v>
                </c:pt>
                <c:pt idx="10">
                  <c:v>28.955770555639599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Offset_2024Pricing!$I$4:$I$15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B7-4EAA-A6FC-7200EF320070}"/>
            </c:ext>
          </c:extLst>
        </c:ser>
        <c:ser>
          <c:idx val="1"/>
          <c:order val="4"/>
          <c:tx>
            <c:v>V2 H500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Offset_2024Pricing!$K$4:$K$15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34.3763553073507</c:v>
                </c:pt>
                <c:pt idx="2">
                  <c:v>34.393285161544199</c:v>
                </c:pt>
                <c:pt idx="3">
                  <c:v>34.427144869931304</c:v>
                </c:pt>
                <c:pt idx="4">
                  <c:v>34.461004578318402</c:v>
                </c:pt>
                <c:pt idx="5">
                  <c:v>34.4948642867055</c:v>
                </c:pt>
                <c:pt idx="6">
                  <c:v>34.419775588210904</c:v>
                </c:pt>
                <c:pt idx="7">
                  <c:v>34.3446868897163</c:v>
                </c:pt>
                <c:pt idx="8">
                  <c:v>33.969243397243204</c:v>
                </c:pt>
                <c:pt idx="9">
                  <c:v>33.593799904770002</c:v>
                </c:pt>
                <c:pt idx="10">
                  <c:v>33.218356412296899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Offset_2024Pricing!$I$4:$I$15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B7-4EAA-A6FC-7200EF320070}"/>
            </c:ext>
          </c:extLst>
        </c:ser>
        <c:ser>
          <c:idx val="2"/>
          <c:order val="5"/>
          <c:tx>
            <c:v>V3 H500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Offset_2024Pricing!$L$4:$L$15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39.038458421503798</c:v>
                </c:pt>
                <c:pt idx="2">
                  <c:v>39.055388275697403</c:v>
                </c:pt>
                <c:pt idx="3">
                  <c:v>39.089247984084501</c:v>
                </c:pt>
                <c:pt idx="4">
                  <c:v>39.123107692471599</c:v>
                </c:pt>
                <c:pt idx="5">
                  <c:v>39.156967400858697</c:v>
                </c:pt>
                <c:pt idx="6">
                  <c:v>39.081878702363994</c:v>
                </c:pt>
                <c:pt idx="7">
                  <c:v>39.006790003869398</c:v>
                </c:pt>
                <c:pt idx="8">
                  <c:v>38.631346511396295</c:v>
                </c:pt>
                <c:pt idx="9">
                  <c:v>38.255903018923199</c:v>
                </c:pt>
                <c:pt idx="10">
                  <c:v>37.880459526450096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Offset_2024Pricing!$I$4:$I$15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B7-4EAA-A6FC-7200EF320070}"/>
            </c:ext>
          </c:extLst>
        </c:ser>
        <c:ser>
          <c:idx val="10"/>
          <c:order val="6"/>
          <c:tx>
            <c:v>V1 H750</c:v>
          </c:tx>
          <c:spPr>
            <a:ln w="2540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Offset_2024Pricing!$Q$4:$Q$15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29.7374905973187</c:v>
                </c:pt>
                <c:pt idx="2">
                  <c:v>29.7638791207225</c:v>
                </c:pt>
                <c:pt idx="3">
                  <c:v>29.823763570508699</c:v>
                </c:pt>
                <c:pt idx="4">
                  <c:v>29.8950198650607</c:v>
                </c:pt>
                <c:pt idx="5">
                  <c:v>29.9806145725783</c:v>
                </c:pt>
                <c:pt idx="6">
                  <c:v>29.973214292578298</c:v>
                </c:pt>
                <c:pt idx="7">
                  <c:v>29.965814012578303</c:v>
                </c:pt>
                <c:pt idx="8">
                  <c:v>29.688066242521302</c:v>
                </c:pt>
                <c:pt idx="9">
                  <c:v>29.3184325306934</c:v>
                </c:pt>
                <c:pt idx="10">
                  <c:v>28.948798818865399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Offset_2024Pricing!$P$4:$P$15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B7-4EAA-A6FC-7200EF320070}"/>
            </c:ext>
          </c:extLst>
        </c:ser>
        <c:ser>
          <c:idx val="11"/>
          <c:order val="7"/>
          <c:tx>
            <c:v>V2 H750</c:v>
          </c:tx>
          <c:spPr>
            <a:ln w="2540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01BCFF"/>
              </a:solidFill>
              <a:ln w="9525">
                <a:solidFill>
                  <a:srgbClr val="01BCFF"/>
                </a:solidFill>
              </a:ln>
              <a:effectLst/>
            </c:spPr>
          </c:marker>
          <c:xVal>
            <c:numRef>
              <c:f>Offset_2024Pricing!$R$4:$R$15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34.373014683479695</c:v>
                </c:pt>
                <c:pt idx="2">
                  <c:v>34.386603913802304</c:v>
                </c:pt>
                <c:pt idx="3">
                  <c:v>34.4137823744475</c:v>
                </c:pt>
                <c:pt idx="4">
                  <c:v>34.440960835092596</c:v>
                </c:pt>
                <c:pt idx="5">
                  <c:v>34.468139295737799</c:v>
                </c:pt>
                <c:pt idx="6">
                  <c:v>34.394212553372199</c:v>
                </c:pt>
                <c:pt idx="7">
                  <c:v>34.320285811006599</c:v>
                </c:pt>
                <c:pt idx="8">
                  <c:v>33.950652099178598</c:v>
                </c:pt>
                <c:pt idx="9">
                  <c:v>33.581018387350703</c:v>
                </c:pt>
                <c:pt idx="10">
                  <c:v>33.211384675522702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Offset_2024Pricing!$P$4:$P$15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B7-4EAA-A6FC-7200EF320070}"/>
            </c:ext>
          </c:extLst>
        </c:ser>
        <c:ser>
          <c:idx val="12"/>
          <c:order val="8"/>
          <c:tx>
            <c:v>H3 H750</c:v>
          </c:tx>
          <c:spPr>
            <a:ln w="25400" cap="rnd">
              <a:solidFill>
                <a:srgbClr val="00B0F0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01BCFF"/>
              </a:solidFill>
              <a:ln w="9525">
                <a:solidFill>
                  <a:srgbClr val="01BCFF"/>
                </a:solidFill>
              </a:ln>
              <a:effectLst/>
            </c:spPr>
          </c:marker>
          <c:xVal>
            <c:numRef>
              <c:f>Offset_2024Pricing!$S$4:$S$15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39.0351177976329</c:v>
                </c:pt>
                <c:pt idx="2">
                  <c:v>39.048707027955395</c:v>
                </c:pt>
                <c:pt idx="3">
                  <c:v>39.075885488600598</c:v>
                </c:pt>
                <c:pt idx="4">
                  <c:v>39.103063949245801</c:v>
                </c:pt>
                <c:pt idx="5">
                  <c:v>39.130242409890897</c:v>
                </c:pt>
                <c:pt idx="6">
                  <c:v>39.056315667525297</c:v>
                </c:pt>
                <c:pt idx="7">
                  <c:v>38.982388925159697</c:v>
                </c:pt>
                <c:pt idx="8">
                  <c:v>38.612755213331802</c:v>
                </c:pt>
                <c:pt idx="9">
                  <c:v>38.243121501503801</c:v>
                </c:pt>
                <c:pt idx="10">
                  <c:v>37.873487789675899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Offset_2024Pricing!$P$4:$P$15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B7-4EAA-A6FC-7200EF320070}"/>
            </c:ext>
          </c:extLst>
        </c:ser>
        <c:ser>
          <c:idx val="15"/>
          <c:order val="9"/>
          <c:tx>
            <c:v>V1 H1000</c:v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Offset_2024Pricing!$X$4:$X$15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29.7317122863187</c:v>
                </c:pt>
                <c:pt idx="2">
                  <c:v>29.7520526103776</c:v>
                </c:pt>
                <c:pt idx="3">
                  <c:v>29.798911046064298</c:v>
                </c:pt>
                <c:pt idx="4">
                  <c:v>29.855653941860698</c:v>
                </c:pt>
                <c:pt idx="5">
                  <c:v>29.924859852578301</c:v>
                </c:pt>
                <c:pt idx="6">
                  <c:v>29.914992812578298</c:v>
                </c:pt>
                <c:pt idx="7">
                  <c:v>29.905125772578298</c:v>
                </c:pt>
                <c:pt idx="8">
                  <c:v>29.669474944456802</c:v>
                </c:pt>
                <c:pt idx="9">
                  <c:v>29.305651013273998</c:v>
                </c:pt>
                <c:pt idx="10">
                  <c:v>28.941827082091201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Offset_2024Pricing!$W$4:$W$15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5AB7-4EAA-A6FC-7200EF320070}"/>
            </c:ext>
          </c:extLst>
        </c:ser>
        <c:ser>
          <c:idx val="16"/>
          <c:order val="10"/>
          <c:tx>
            <c:v>V2 H1000</c:v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Offset_2024Pricing!$Y$4:$Y$15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34.369674059608805</c:v>
                </c:pt>
                <c:pt idx="2">
                  <c:v>34.379922666060402</c:v>
                </c:pt>
                <c:pt idx="3">
                  <c:v>34.400419878963596</c:v>
                </c:pt>
                <c:pt idx="4">
                  <c:v>34.420917091866798</c:v>
                </c:pt>
                <c:pt idx="5">
                  <c:v>34.441414304769999</c:v>
                </c:pt>
                <c:pt idx="6">
                  <c:v>34.368649518533495</c:v>
                </c:pt>
                <c:pt idx="7">
                  <c:v>34.295884732296898</c:v>
                </c:pt>
                <c:pt idx="8">
                  <c:v>33.932060801114098</c:v>
                </c:pt>
                <c:pt idx="9">
                  <c:v>33.568236869931305</c:v>
                </c:pt>
                <c:pt idx="10">
                  <c:v>33.204412938748504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Offset_2024Pricing!$W$4:$W$15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5AB7-4EAA-A6FC-7200EF320070}"/>
            </c:ext>
          </c:extLst>
        </c:ser>
        <c:ser>
          <c:idx val="17"/>
          <c:order val="11"/>
          <c:tx>
            <c:v>V3 H1000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Offset_2024Pricing!$Z$4:$Z$15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39.031777173761895</c:v>
                </c:pt>
                <c:pt idx="2">
                  <c:v>39.0420257802135</c:v>
                </c:pt>
                <c:pt idx="3">
                  <c:v>39.062522993116701</c:v>
                </c:pt>
                <c:pt idx="4">
                  <c:v>39.083020206019995</c:v>
                </c:pt>
                <c:pt idx="5">
                  <c:v>39.103517418923197</c:v>
                </c:pt>
                <c:pt idx="6">
                  <c:v>39.0307526326866</c:v>
                </c:pt>
                <c:pt idx="7">
                  <c:v>38.957987846450095</c:v>
                </c:pt>
                <c:pt idx="8">
                  <c:v>38.594163915267302</c:v>
                </c:pt>
                <c:pt idx="9">
                  <c:v>38.230339984084502</c:v>
                </c:pt>
                <c:pt idx="10">
                  <c:v>37.866516052901702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Offset_2024Pricing!$W$4:$W$15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5AB7-4EAA-A6FC-7200EF320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/>
      </c:scatterChart>
      <c:valAx>
        <c:axId val="1211617856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>
                    <a:effectLst/>
                  </a:rPr>
                  <a:t>Hydropeaking Value ($ Million/month) </a:t>
                </a:r>
                <a:endParaRPr lang="en-US" sz="16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ajorUnit val="1"/>
        <c:minorUnit val="1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baseline="0">
                    <a:effectLst/>
                  </a:rPr>
                  <a:t>Number of Steady low Flow Days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1097906737802823E-2"/>
              <c:y val="0.25173257425805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1"/>
      </c:valAx>
      <c:spPr>
        <a:solidFill>
          <a:schemeClr val="bg1">
            <a:lumMod val="95000"/>
            <a:alpha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031032885595184E-2"/>
          <c:y val="2.3832933391276998E-2"/>
          <c:w val="0.75910328855951825"/>
          <c:h val="0.88214928532335579"/>
        </c:manualLayout>
      </c:layout>
      <c:scatterChart>
        <c:scatterStyle val="lineMarker"/>
        <c:varyColors val="0"/>
        <c:ser>
          <c:idx val="5"/>
          <c:order val="0"/>
          <c:tx>
            <c:strRef>
              <c:f>Tradeoff_Control!#REF!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D95-439B-94C6-59D68C1922B5}"/>
            </c:ext>
          </c:extLst>
        </c:ser>
        <c:ser>
          <c:idx val="6"/>
          <c:order val="1"/>
          <c:tx>
            <c:strRef>
              <c:f>Tradeoff_Control!#REF!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D95-439B-94C6-59D68C1922B5}"/>
            </c:ext>
          </c:extLst>
        </c:ser>
        <c:ser>
          <c:idx val="7"/>
          <c:order val="2"/>
          <c:tx>
            <c:strRef>
              <c:f>Tradeoff_Control!#REF!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D95-439B-94C6-59D68C1922B5}"/>
            </c:ext>
          </c:extLst>
        </c:ser>
        <c:ser>
          <c:idx val="0"/>
          <c:order val="3"/>
          <c:tx>
            <c:v>V1_2024_2daytype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D95-439B-94C6-59D68C1922B5}"/>
            </c:ext>
          </c:extLst>
        </c:ser>
        <c:ser>
          <c:idx val="1"/>
          <c:order val="4"/>
          <c:tx>
            <c:v>V2_2024_2daytype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D95-439B-94C6-59D68C1922B5}"/>
            </c:ext>
          </c:extLst>
        </c:ser>
        <c:ser>
          <c:idx val="2"/>
          <c:order val="5"/>
          <c:tx>
            <c:v>V3_2024_2daytype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5D95-439B-94C6-59D68C1922B5}"/>
            </c:ext>
          </c:extLst>
        </c:ser>
        <c:ser>
          <c:idx val="3"/>
          <c:order val="6"/>
          <c:tx>
            <c:v>V1_2024_3daytype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Tradeoff_Control!$H$4:$H$15</c:f>
              <c:numCache>
                <c:formatCode>General</c:formatCode>
                <c:ptCount val="12"/>
                <c:pt idx="0">
                  <c:v>29.713165513489308</c:v>
                </c:pt>
                <c:pt idx="1">
                  <c:v>29.731712286318679</c:v>
                </c:pt>
                <c:pt idx="2">
                  <c:v>29.752052610377643</c:v>
                </c:pt>
                <c:pt idx="3">
                  <c:v>29.798911046064259</c:v>
                </c:pt>
                <c:pt idx="4">
                  <c:v>29.855653941860719</c:v>
                </c:pt>
                <c:pt idx="5">
                  <c:v>29.924859852578308</c:v>
                </c:pt>
                <c:pt idx="6">
                  <c:v>29.914992812578312</c:v>
                </c:pt>
                <c:pt idx="7">
                  <c:v>29.905125772578305</c:v>
                </c:pt>
                <c:pt idx="8">
                  <c:v>29.669474944456795</c:v>
                </c:pt>
                <c:pt idx="9">
                  <c:v>29.305651013273994</c:v>
                </c:pt>
                <c:pt idx="10">
                  <c:v>28.941827082091201</c:v>
                </c:pt>
                <c:pt idx="11">
                  <c:v>28.505238364671843</c:v>
                </c:pt>
              </c:numCache>
            </c:numRef>
          </c:xVal>
          <c:yVal>
            <c:numRef>
              <c:f>Tradeoff_Control!$G$4:$G$15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95-439B-94C6-59D68C1922B5}"/>
            </c:ext>
          </c:extLst>
        </c:ser>
        <c:ser>
          <c:idx val="4"/>
          <c:order val="7"/>
          <c:tx>
            <c:v>V2_2024_3daytype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>
                    <a:alpha val="75000"/>
                  </a:srgbClr>
                </a:solidFill>
              </a:ln>
              <a:effectLst/>
            </c:spPr>
          </c:marker>
          <c:xVal>
            <c:numRef>
              <c:f>Tradeoff_Control!$I$4:$I$15</c:f>
              <c:numCache>
                <c:formatCode>General</c:formatCode>
                <c:ptCount val="12"/>
                <c:pt idx="0">
                  <c:v>34.359425453157151</c:v>
                </c:pt>
                <c:pt idx="1">
                  <c:v>34.369674059608755</c:v>
                </c:pt>
                <c:pt idx="2">
                  <c:v>34.379922666060367</c:v>
                </c:pt>
                <c:pt idx="3">
                  <c:v>34.400419878963596</c:v>
                </c:pt>
                <c:pt idx="4">
                  <c:v>34.420917091866819</c:v>
                </c:pt>
                <c:pt idx="5">
                  <c:v>34.441414304770042</c:v>
                </c:pt>
                <c:pt idx="6">
                  <c:v>34.368649518533495</c:v>
                </c:pt>
                <c:pt idx="7">
                  <c:v>34.295884732296926</c:v>
                </c:pt>
                <c:pt idx="8">
                  <c:v>33.932060801114126</c:v>
                </c:pt>
                <c:pt idx="9">
                  <c:v>33.568236869931333</c:v>
                </c:pt>
                <c:pt idx="10">
                  <c:v>33.20441293874854</c:v>
                </c:pt>
                <c:pt idx="11">
                  <c:v>32.767824221329185</c:v>
                </c:pt>
              </c:numCache>
            </c:numRef>
          </c:xVal>
          <c:yVal>
            <c:numRef>
              <c:f>Tradeoff_Control!$G$4:$G$15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95-439B-94C6-59D68C1922B5}"/>
            </c:ext>
          </c:extLst>
        </c:ser>
        <c:ser>
          <c:idx val="8"/>
          <c:order val="8"/>
          <c:tx>
            <c:v>V3_2024_3daytype</c:v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Tradeoff_Control!$J$4:$J$15</c:f>
              <c:numCache>
                <c:formatCode>General</c:formatCode>
                <c:ptCount val="12"/>
                <c:pt idx="0">
                  <c:v>39.021528567310284</c:v>
                </c:pt>
                <c:pt idx="1">
                  <c:v>39.031777173761888</c:v>
                </c:pt>
                <c:pt idx="2">
                  <c:v>39.0420257802135</c:v>
                </c:pt>
                <c:pt idx="3">
                  <c:v>39.06252299311673</c:v>
                </c:pt>
                <c:pt idx="4">
                  <c:v>39.083020206019953</c:v>
                </c:pt>
                <c:pt idx="5">
                  <c:v>39.103517418923175</c:v>
                </c:pt>
                <c:pt idx="6">
                  <c:v>39.030752632686628</c:v>
                </c:pt>
                <c:pt idx="7">
                  <c:v>38.957987846450067</c:v>
                </c:pt>
                <c:pt idx="8">
                  <c:v>38.594163915267259</c:v>
                </c:pt>
                <c:pt idx="9">
                  <c:v>38.230339984084466</c:v>
                </c:pt>
                <c:pt idx="10">
                  <c:v>37.866516052901673</c:v>
                </c:pt>
                <c:pt idx="11">
                  <c:v>37.429927335482311</c:v>
                </c:pt>
              </c:numCache>
            </c:numRef>
          </c:xVal>
          <c:yVal>
            <c:numRef>
              <c:f>Tradeoff_Control!$G$4:$G$15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D95-439B-94C6-59D68C192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/>
      </c:scatterChart>
      <c:valAx>
        <c:axId val="1211617856"/>
        <c:scaling>
          <c:orientation val="minMax"/>
          <c:max val="40"/>
          <c:min val="2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  <a:alpha val="62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>
                    <a:effectLst/>
                  </a:rPr>
                  <a:t>Hydropeaking Value ($ Million/month) </a:t>
                </a:r>
                <a:endParaRPr lang="en-US" sz="16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ajorUnit val="2"/>
        <c:minorUnit val="1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baseline="0">
                    <a:effectLst/>
                  </a:rPr>
                  <a:t>Number of Steady low Flow Days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3.7807952287610995E-3"/>
              <c:y val="0.2517325879299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1"/>
      </c:valAx>
      <c:spPr>
        <a:solidFill>
          <a:schemeClr val="bg1">
            <a:lumMod val="95000"/>
            <a:alpha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36959952605664E-2"/>
          <c:y val="2.3832933391276998E-2"/>
          <c:w val="0.76143181116945202"/>
          <c:h val="0.87722463589079946"/>
        </c:manualLayout>
      </c:layout>
      <c:scatterChart>
        <c:scatterStyle val="lineMarker"/>
        <c:varyColors val="0"/>
        <c:ser>
          <c:idx val="4"/>
          <c:order val="4"/>
          <c:tx>
            <c:v>V5 H0</c:v>
          </c:tx>
          <c:spPr>
            <a:ln w="22225" cap="rnd">
              <a:solidFill>
                <a:srgbClr val="FF66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FF6600"/>
                </a:solidFill>
              </a:ln>
              <a:effectLst/>
            </c:spPr>
          </c:marker>
          <c:xVal>
            <c:numRef>
              <c:f>'2024price_August_Compare'!$G$6:$G$17</c:f>
              <c:numCache>
                <c:formatCode>General</c:formatCode>
                <c:ptCount val="12"/>
              </c:numCache>
            </c:numRef>
          </c:xVal>
          <c:yVal>
            <c:numRef>
              <c:f>'2024price_August_Compare'!$B$6:$B$18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3E-4141-BE1A-86C1E05C842F}"/>
            </c:ext>
          </c:extLst>
        </c:ser>
        <c:ser>
          <c:idx val="1"/>
          <c:order val="6"/>
          <c:spPr>
            <a:ln w="2222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'2024price_August_Compare'!$K$6:$K$17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34.369674059608805</c:v>
                </c:pt>
                <c:pt idx="2">
                  <c:v>34.379922666060402</c:v>
                </c:pt>
                <c:pt idx="3">
                  <c:v>34.400419878963596</c:v>
                </c:pt>
                <c:pt idx="4">
                  <c:v>34.420917091866798</c:v>
                </c:pt>
                <c:pt idx="5">
                  <c:v>34.441414304769999</c:v>
                </c:pt>
                <c:pt idx="6">
                  <c:v>34.368649518533495</c:v>
                </c:pt>
                <c:pt idx="7">
                  <c:v>34.295884732296898</c:v>
                </c:pt>
                <c:pt idx="8">
                  <c:v>33.932060801114098</c:v>
                </c:pt>
                <c:pt idx="9">
                  <c:v>33.568236869931305</c:v>
                </c:pt>
                <c:pt idx="10">
                  <c:v>33.204412938748504</c:v>
                </c:pt>
                <c:pt idx="11">
                  <c:v>32.767824221329199</c:v>
                </c:pt>
              </c:numCache>
            </c:numRef>
          </c:xVal>
          <c:yVal>
            <c:numRef>
              <c:f>'2024price_August_Compare'!$I$6:$I$17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3E-4141-BE1A-86C1E05C842F}"/>
            </c:ext>
          </c:extLst>
        </c:ser>
        <c:ser>
          <c:idx val="10"/>
          <c:order val="10"/>
          <c:spPr>
            <a:ln w="2222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'2024price_August_Compare'!$R$6:$R$18</c:f>
              <c:numCache>
                <c:formatCode>General</c:formatCode>
                <c:ptCount val="13"/>
                <c:pt idx="0">
                  <c:v>34.359425453157094</c:v>
                </c:pt>
                <c:pt idx="1">
                  <c:v>33.513158276519</c:v>
                </c:pt>
                <c:pt idx="2">
                  <c:v>33.495296665776003</c:v>
                </c:pt>
                <c:pt idx="3">
                  <c:v>33.462109494661902</c:v>
                </c:pt>
                <c:pt idx="4">
                  <c:v>33.367934900488997</c:v>
                </c:pt>
                <c:pt idx="5">
                  <c:v>33.265633545813095</c:v>
                </c:pt>
                <c:pt idx="6">
                  <c:v>33.066664933346701</c:v>
                </c:pt>
                <c:pt idx="7">
                  <c:v>32.895022708773098</c:v>
                </c:pt>
                <c:pt idx="8">
                  <c:v>32.551526366885099</c:v>
                </c:pt>
                <c:pt idx="9">
                  <c:v>32.102303975736199</c:v>
                </c:pt>
                <c:pt idx="10">
                  <c:v>31.477487309516299</c:v>
                </c:pt>
                <c:pt idx="11">
                  <c:v>30.9563122892765</c:v>
                </c:pt>
                <c:pt idx="12">
                  <c:v>30.420635870734301</c:v>
                </c:pt>
              </c:numCache>
            </c:numRef>
          </c:xVal>
          <c:yVal>
            <c:numRef>
              <c:f>'2024price_August_Compare'!$P$6:$P$18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3E-4141-BE1A-86C1E05C8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spPr>
                  <a:ln w="2540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2700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'2024price_August_Compare'!$C$6:$C$18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29.713165513489297</c:v>
                      </c:pt>
                      <c:pt idx="1">
                        <c:v>29.1778205154468</c:v>
                      </c:pt>
                      <c:pt idx="2">
                        <c:v>29.1692556927091</c:v>
                      </c:pt>
                      <c:pt idx="3">
                        <c:v>29.152936017576298</c:v>
                      </c:pt>
                      <c:pt idx="4">
                        <c:v>29.0928046583035</c:v>
                      </c:pt>
                      <c:pt idx="5">
                        <c:v>29.034515802447597</c:v>
                      </c:pt>
                      <c:pt idx="6">
                        <c:v>28.8764098247836</c:v>
                      </c:pt>
                      <c:pt idx="7">
                        <c:v>28.7183038471196</c:v>
                      </c:pt>
                      <c:pt idx="8">
                        <c:v>28.402091891791599</c:v>
                      </c:pt>
                      <c:pt idx="9">
                        <c:v>28.010958089365602</c:v>
                      </c:pt>
                      <c:pt idx="10">
                        <c:v>27.462149441326801</c:v>
                      </c:pt>
                      <c:pt idx="11">
                        <c:v>26.9864966803671</c:v>
                      </c:pt>
                      <c:pt idx="12">
                        <c:v>26.476397450500201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'2024price_August_Compare'!$B$6:$B$18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83E-4141-BE1A-86C1E05C842F}"/>
                  </c:ext>
                </c:extLst>
              </c15:ser>
            </c15:filteredScatterSeries>
            <c15:filteredScatterSeries>
              <c15:ser>
                <c:idx val="6"/>
                <c:order val="1"/>
                <c:spPr>
                  <a:ln w="25400" cap="rnd">
                    <a:solidFill>
                      <a:srgbClr val="F09456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09456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'2024price_August_Compare'!$D$6:$D$18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34.359425453157094</c:v>
                      </c:pt>
                      <c:pt idx="1">
                        <c:v>33.513158276519</c:v>
                      </c:pt>
                      <c:pt idx="2">
                        <c:v>33.495296665776003</c:v>
                      </c:pt>
                      <c:pt idx="3">
                        <c:v>33.462109494661902</c:v>
                      </c:pt>
                      <c:pt idx="4">
                        <c:v>33.367934900488997</c:v>
                      </c:pt>
                      <c:pt idx="5">
                        <c:v>33.265633545813095</c:v>
                      </c:pt>
                      <c:pt idx="6">
                        <c:v>33.066664933346701</c:v>
                      </c:pt>
                      <c:pt idx="7">
                        <c:v>32.895022708773098</c:v>
                      </c:pt>
                      <c:pt idx="8">
                        <c:v>32.551526366885099</c:v>
                      </c:pt>
                      <c:pt idx="9">
                        <c:v>32.102303975736199</c:v>
                      </c:pt>
                      <c:pt idx="10">
                        <c:v>31.477487309516299</c:v>
                      </c:pt>
                      <c:pt idx="11">
                        <c:v>30.9563122892765</c:v>
                      </c:pt>
                      <c:pt idx="12">
                        <c:v>30.420635870734301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'2024price_August_Compare'!$B$6:$B$18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83E-4141-BE1A-86C1E05C842F}"/>
                  </c:ext>
                </c:extLst>
              </c15:ser>
            </c15:filteredScatterSeries>
            <c15:filteredScatterSeries>
              <c15:ser>
                <c:idx val="7"/>
                <c:order val="2"/>
                <c:spPr>
                  <a:ln w="25400" cap="rnd">
                    <a:solidFill>
                      <a:srgbClr val="D08516"/>
                    </a:solidFill>
                    <a:prstDash val="dashDot"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rgbClr val="D08516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'2024price_August_Compare'!$E$6:$E$18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39.021528567310305</c:v>
                      </c:pt>
                      <c:pt idx="1">
                        <c:v>38.122046045326798</c:v>
                      </c:pt>
                      <c:pt idx="2">
                        <c:v>38.119840021225201</c:v>
                      </c:pt>
                      <c:pt idx="3">
                        <c:v>38.117155412217102</c:v>
                      </c:pt>
                      <c:pt idx="4">
                        <c:v>38.031482707645601</c:v>
                      </c:pt>
                      <c:pt idx="5">
                        <c:v>37.942628745012904</c:v>
                      </c:pt>
                      <c:pt idx="6">
                        <c:v>37.774263090484901</c:v>
                      </c:pt>
                      <c:pt idx="7">
                        <c:v>37.605897435956905</c:v>
                      </c:pt>
                      <c:pt idx="8">
                        <c:v>37.269166126900899</c:v>
                      </c:pt>
                      <c:pt idx="9">
                        <c:v>36.896217478834899</c:v>
                      </c:pt>
                      <c:pt idx="10">
                        <c:v>36.3730976048952</c:v>
                      </c:pt>
                      <c:pt idx="11">
                        <c:v>35.928509057854299</c:v>
                      </c:pt>
                      <c:pt idx="12">
                        <c:v>35.462995730887705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'2024price_August_Compare'!$B$6:$B$18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83E-4141-BE1A-86C1E05C842F}"/>
                  </c:ext>
                </c:extLst>
              </c15:ser>
            </c15:filteredScatterSeries>
            <c15:filteredScatterSeries>
              <c15:ser>
                <c:idx val="8"/>
                <c:order val="3"/>
                <c:tx>
                  <c:v>V4 H0</c:v>
                </c:tx>
                <c:spPr>
                  <a:ln w="25400" cap="rnd">
                    <a:solidFill>
                      <a:srgbClr val="EC7524">
                        <a:alpha val="99000"/>
                      </a:srgbClr>
                    </a:solidFill>
                    <a:prstDash val="lgDashDot"/>
                    <a:round/>
                  </a:ln>
                  <a:effectLst/>
                </c:spPr>
                <c:marker>
                  <c:symbol val="star"/>
                  <c:size val="6"/>
                  <c:spPr>
                    <a:solidFill>
                      <a:srgbClr val="EC7524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'2024price_August_Compare'!$F$6:$F$17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'2024price_August_Compare'!$B$6:$B$18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83E-4141-BE1A-86C1E05C842F}"/>
                  </c:ext>
                </c:extLst>
              </c15:ser>
            </c15:filteredScatterSeries>
            <c15:filteredScatterSeries>
              <c15:ser>
                <c:idx val="0"/>
                <c:order val="5"/>
                <c:spPr>
                  <a:ln w="2222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'2024price_August_Compare'!$J$6:$J$17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29.713165513489297</c:v>
                      </c:pt>
                      <c:pt idx="1">
                        <c:v>29.7317122863187</c:v>
                      </c:pt>
                      <c:pt idx="2">
                        <c:v>29.7520526103776</c:v>
                      </c:pt>
                      <c:pt idx="3">
                        <c:v>29.798911046064298</c:v>
                      </c:pt>
                      <c:pt idx="4">
                        <c:v>29.855653941860698</c:v>
                      </c:pt>
                      <c:pt idx="5">
                        <c:v>29.924859852578301</c:v>
                      </c:pt>
                      <c:pt idx="6">
                        <c:v>29.914992812578298</c:v>
                      </c:pt>
                      <c:pt idx="7">
                        <c:v>29.905125772578298</c:v>
                      </c:pt>
                      <c:pt idx="8">
                        <c:v>29.669474944456802</c:v>
                      </c:pt>
                      <c:pt idx="9">
                        <c:v>29.305651013273998</c:v>
                      </c:pt>
                      <c:pt idx="10">
                        <c:v>28.941827082091201</c:v>
                      </c:pt>
                      <c:pt idx="11">
                        <c:v>28.505238364671801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'2024price_August_Compare'!$I$6:$I$17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15</c:v>
                      </c:pt>
                      <c:pt idx="9">
                        <c:v>20</c:v>
                      </c:pt>
                      <c:pt idx="10">
                        <c:v>25</c:v>
                      </c:pt>
                      <c:pt idx="11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83E-4141-BE1A-86C1E05C842F}"/>
                  </c:ext>
                </c:extLst>
              </c15:ser>
            </c15:filteredScatterSeries>
            <c15:filteredScatterSeries>
              <c15:ser>
                <c:idx val="2"/>
                <c:order val="7"/>
                <c:spPr>
                  <a:ln w="22225" cap="rnd">
                    <a:solidFill>
                      <a:schemeClr val="accent5">
                        <a:lumMod val="50000"/>
                      </a:schemeClr>
                    </a:solidFill>
                    <a:prstDash val="dashDot"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'2024price_August_Compare'!$L$6:$L$17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39.021528567310305</c:v>
                      </c:pt>
                      <c:pt idx="1">
                        <c:v>39.031777173761895</c:v>
                      </c:pt>
                      <c:pt idx="2">
                        <c:v>39.0420257802135</c:v>
                      </c:pt>
                      <c:pt idx="3">
                        <c:v>39.062522993116701</c:v>
                      </c:pt>
                      <c:pt idx="4">
                        <c:v>39.083020206019995</c:v>
                      </c:pt>
                      <c:pt idx="5">
                        <c:v>39.103517418923197</c:v>
                      </c:pt>
                      <c:pt idx="6">
                        <c:v>39.0307526326866</c:v>
                      </c:pt>
                      <c:pt idx="7">
                        <c:v>38.957987846450095</c:v>
                      </c:pt>
                      <c:pt idx="8">
                        <c:v>38.594163915267302</c:v>
                      </c:pt>
                      <c:pt idx="9">
                        <c:v>38.230339984084502</c:v>
                      </c:pt>
                      <c:pt idx="10">
                        <c:v>37.866516052901702</c:v>
                      </c:pt>
                      <c:pt idx="11">
                        <c:v>37.429927335482297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'2024price_August_Compare'!$I$6:$I$17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15</c:v>
                      </c:pt>
                      <c:pt idx="9">
                        <c:v>20</c:v>
                      </c:pt>
                      <c:pt idx="10">
                        <c:v>25</c:v>
                      </c:pt>
                      <c:pt idx="11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83E-4141-BE1A-86C1E05C842F}"/>
                  </c:ext>
                </c:extLst>
              </c15:ser>
            </c15:filteredScatterSeries>
            <c15:filteredScatterSeries>
              <c15:ser>
                <c:idx val="3"/>
                <c:order val="8"/>
                <c:spPr>
                  <a:ln w="19050" cap="rnd">
                    <a:solidFill>
                      <a:schemeClr val="accent5">
                        <a:lumMod val="75000"/>
                      </a:schemeClr>
                    </a:solidFill>
                    <a:prstDash val="lgDashDot"/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rgbClr val="448DD0"/>
                    </a:solidFill>
                    <a:ln w="9525">
                      <a:solidFill>
                        <a:schemeClr val="bg2">
                          <a:lumMod val="9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'2024price_August_Compare'!$M$6:$M$17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'2024price_August_Compare'!$I$6:$I$17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15</c:v>
                      </c:pt>
                      <c:pt idx="9">
                        <c:v>20</c:v>
                      </c:pt>
                      <c:pt idx="10">
                        <c:v>25</c:v>
                      </c:pt>
                      <c:pt idx="11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83E-4141-BE1A-86C1E05C842F}"/>
                  </c:ext>
                </c:extLst>
              </c15:ser>
            </c15:filteredScatterSeries>
            <c15:filteredScatterSeries>
              <c15:ser>
                <c:idx val="9"/>
                <c:order val="9"/>
                <c:spPr>
                  <a:ln w="2540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'2024price_August_Compare'!$Q$6:$Q$18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29.713165513489297</c:v>
                      </c:pt>
                      <c:pt idx="1">
                        <c:v>29.1778205154468</c:v>
                      </c:pt>
                      <c:pt idx="2">
                        <c:v>29.1692556927091</c:v>
                      </c:pt>
                      <c:pt idx="3">
                        <c:v>29.152936017576298</c:v>
                      </c:pt>
                      <c:pt idx="4">
                        <c:v>29.0928046583035</c:v>
                      </c:pt>
                      <c:pt idx="5">
                        <c:v>29.034515802447597</c:v>
                      </c:pt>
                      <c:pt idx="6">
                        <c:v>28.8764098247836</c:v>
                      </c:pt>
                      <c:pt idx="7">
                        <c:v>28.7183038471196</c:v>
                      </c:pt>
                      <c:pt idx="8">
                        <c:v>28.402091891791599</c:v>
                      </c:pt>
                      <c:pt idx="9">
                        <c:v>28.010958089365602</c:v>
                      </c:pt>
                      <c:pt idx="10">
                        <c:v>27.462149441326801</c:v>
                      </c:pt>
                      <c:pt idx="11">
                        <c:v>26.9864966803671</c:v>
                      </c:pt>
                      <c:pt idx="12">
                        <c:v>26.476397450500201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'2024price_August_Compare'!$P$6:$P$18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83E-4141-BE1A-86C1E05C842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19050" cap="rnd">
                    <a:solidFill>
                      <a:srgbClr val="4BA832"/>
                    </a:solidFill>
                    <a:prstDash val="dashDot"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rgbClr val="4BA83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'2024price_August_Compare'!$S$6:$S$18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39.021528567310305</c:v>
                      </c:pt>
                      <c:pt idx="1">
                        <c:v>38.122046045326798</c:v>
                      </c:pt>
                      <c:pt idx="2">
                        <c:v>38.119840021225201</c:v>
                      </c:pt>
                      <c:pt idx="3">
                        <c:v>38.117155412217102</c:v>
                      </c:pt>
                      <c:pt idx="4">
                        <c:v>38.031482707645601</c:v>
                      </c:pt>
                      <c:pt idx="5">
                        <c:v>37.942628745012904</c:v>
                      </c:pt>
                      <c:pt idx="6">
                        <c:v>37.774263090484901</c:v>
                      </c:pt>
                      <c:pt idx="7">
                        <c:v>37.605897435956905</c:v>
                      </c:pt>
                      <c:pt idx="8">
                        <c:v>37.269166126900899</c:v>
                      </c:pt>
                      <c:pt idx="9">
                        <c:v>36.896217478834899</c:v>
                      </c:pt>
                      <c:pt idx="10">
                        <c:v>36.3730976048952</c:v>
                      </c:pt>
                      <c:pt idx="11">
                        <c:v>35.928509057854299</c:v>
                      </c:pt>
                      <c:pt idx="12">
                        <c:v>35.462995730887705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'2024price_August_Compare'!$P$6:$P$18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83E-4141-BE1A-86C1E05C842F}"/>
                  </c:ext>
                </c:extLst>
              </c15:ser>
            </c15:filteredScatterSeries>
          </c:ext>
        </c:extLst>
      </c:scatterChart>
      <c:valAx>
        <c:axId val="1211617856"/>
        <c:scaling>
          <c:orientation val="minMax"/>
          <c:max val="3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effectLst/>
                  </a:rPr>
                  <a:t>Hydropeaking Value ($ Million) </a:t>
                </a:r>
                <a:endParaRPr lang="en-US" sz="18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ajorUnit val="1"/>
        <c:minorUnit val="0.5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baseline="0">
                    <a:effectLst/>
                  </a:rPr>
                  <a:t>Number of Steady low Flow Days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4.9521911471453479E-3"/>
              <c:y val="0.24453993714943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2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36959952605664E-2"/>
          <c:y val="2.3832933391276998E-2"/>
          <c:w val="0.76143181116945202"/>
          <c:h val="0.87722463589079946"/>
        </c:manualLayout>
      </c:layout>
      <c:scatterChart>
        <c:scatterStyle val="lineMarker"/>
        <c:varyColors val="0"/>
        <c:ser>
          <c:idx val="5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noFill/>
              </a:ln>
              <a:effectLst/>
            </c:spPr>
          </c:marker>
          <c:xVal>
            <c:numRef>
              <c:f>'2024Pricing_August_5to30MWh'!$C$6:$C$18</c:f>
              <c:numCache>
                <c:formatCode>General</c:formatCode>
                <c:ptCount val="13"/>
              </c:numCache>
            </c:numRef>
          </c:xVal>
          <c:yVal>
            <c:numRef>
              <c:f>'2024Pricing_August_5to30MWh'!$B$6:$B$18</c:f>
              <c:numCache>
                <c:formatCode>General</c:formatCode>
                <c:ptCount val="13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D7-4C72-B830-E491C167AC48}"/>
            </c:ext>
          </c:extLst>
        </c:ser>
        <c:ser>
          <c:idx val="6"/>
          <c:order val="1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9456"/>
              </a:solidFill>
              <a:ln w="9525">
                <a:noFill/>
              </a:ln>
              <a:effectLst/>
            </c:spPr>
          </c:marker>
          <c:xVal>
            <c:numRef>
              <c:f>'2024Pricing_August_5to30MWh'!$D$6:$D$18</c:f>
              <c:numCache>
                <c:formatCode>General</c:formatCode>
                <c:ptCount val="13"/>
              </c:numCache>
            </c:numRef>
          </c:xVal>
          <c:yVal>
            <c:numRef>
              <c:f>'2024Pricing_August_5to30MWh'!$B$6:$B$18</c:f>
              <c:numCache>
                <c:formatCode>General</c:formatCode>
                <c:ptCount val="13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D7-4C72-B830-E491C167AC48}"/>
            </c:ext>
          </c:extLst>
        </c:ser>
        <c:ser>
          <c:idx val="7"/>
          <c:order val="2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rgbClr val="D08516"/>
              </a:solidFill>
              <a:ln w="9525">
                <a:noFill/>
              </a:ln>
              <a:effectLst/>
            </c:spPr>
          </c:marker>
          <c:xVal>
            <c:numRef>
              <c:f>'2024Pricing_August_5to30MWh'!$E$6:$E$18</c:f>
              <c:numCache>
                <c:formatCode>General</c:formatCode>
                <c:ptCount val="13"/>
              </c:numCache>
            </c:numRef>
          </c:xVal>
          <c:yVal>
            <c:numRef>
              <c:f>'2024Pricing_August_5to30MWh'!$B$6:$B$18</c:f>
              <c:numCache>
                <c:formatCode>General</c:formatCode>
                <c:ptCount val="13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B4D7-4C72-B830-E491C167AC48}"/>
            </c:ext>
          </c:extLst>
        </c:ser>
        <c:ser>
          <c:idx val="8"/>
          <c:order val="3"/>
          <c:tx>
            <c:v>V4 H0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solidFill>
                <a:srgbClr val="EC7524"/>
              </a:solidFill>
              <a:ln w="9525">
                <a:noFill/>
              </a:ln>
              <a:effectLst/>
            </c:spPr>
          </c:marker>
          <c:xVal>
            <c:numRef>
              <c:f>'2024Pricing_August_5to30MWh'!$F$6:$F$17</c:f>
              <c:numCache>
                <c:formatCode>General</c:formatCode>
                <c:ptCount val="12"/>
              </c:numCache>
            </c:numRef>
          </c:xVal>
          <c:yVal>
            <c:numRef>
              <c:f>'2024Pricing_August_5to30MWh'!$B$6:$B$18</c:f>
              <c:numCache>
                <c:formatCode>General</c:formatCode>
                <c:ptCount val="13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4D7-4C72-B830-E491C167AC48}"/>
            </c:ext>
          </c:extLst>
        </c:ser>
        <c:ser>
          <c:idx val="1"/>
          <c:order val="6"/>
          <c:spPr>
            <a:ln w="2222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'2024Pricing_August_5to30MWh'!$K$6:$K$18</c:f>
              <c:numCache>
                <c:formatCode>General</c:formatCode>
                <c:ptCount val="13"/>
                <c:pt idx="0">
                  <c:v>34.359425453157094</c:v>
                </c:pt>
                <c:pt idx="1">
                  <c:v>33.561447574217794</c:v>
                </c:pt>
                <c:pt idx="2">
                  <c:v>33.543585963474797</c:v>
                </c:pt>
                <c:pt idx="3">
                  <c:v>33.510398792360704</c:v>
                </c:pt>
                <c:pt idx="4">
                  <c:v>33.416224198187798</c:v>
                </c:pt>
                <c:pt idx="5">
                  <c:v>33.313922843511904</c:v>
                </c:pt>
                <c:pt idx="6">
                  <c:v>33.114954231045402</c:v>
                </c:pt>
                <c:pt idx="7">
                  <c:v>32.943312006471899</c:v>
                </c:pt>
                <c:pt idx="8">
                  <c:v>32.5998156645839</c:v>
                </c:pt>
                <c:pt idx="9">
                  <c:v>32.150593273435</c:v>
                </c:pt>
                <c:pt idx="10">
                  <c:v>31.5257766072151</c:v>
                </c:pt>
                <c:pt idx="11">
                  <c:v>31.004601586975298</c:v>
                </c:pt>
                <c:pt idx="12">
                  <c:v>30.468925168433099</c:v>
                </c:pt>
              </c:numCache>
            </c:numRef>
          </c:xVal>
          <c:yVal>
            <c:numRef>
              <c:f>'2024Pricing_August_5to30MWh'!$I$6:$I$18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7-4C72-B830-E491C167AC48}"/>
            </c:ext>
          </c:extLst>
        </c:ser>
        <c:ser>
          <c:idx val="10"/>
          <c:order val="10"/>
          <c:spPr>
            <a:ln w="2222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'2024Pricing_August_5to30MWh'!$R$6:$R$18</c:f>
              <c:numCache>
                <c:formatCode>General</c:formatCode>
                <c:ptCount val="13"/>
                <c:pt idx="0">
                  <c:v>34.359425453157094</c:v>
                </c:pt>
                <c:pt idx="1">
                  <c:v>33.513158276519</c:v>
                </c:pt>
                <c:pt idx="2">
                  <c:v>33.495296665776003</c:v>
                </c:pt>
                <c:pt idx="3">
                  <c:v>33.462109494661902</c:v>
                </c:pt>
                <c:pt idx="4">
                  <c:v>33.367934900488997</c:v>
                </c:pt>
                <c:pt idx="5">
                  <c:v>33.265633545813095</c:v>
                </c:pt>
                <c:pt idx="6">
                  <c:v>33.066664933346701</c:v>
                </c:pt>
                <c:pt idx="7">
                  <c:v>32.895022708773098</c:v>
                </c:pt>
                <c:pt idx="8">
                  <c:v>32.551526366885099</c:v>
                </c:pt>
                <c:pt idx="9">
                  <c:v>32.102303975736199</c:v>
                </c:pt>
                <c:pt idx="10">
                  <c:v>31.477487309516299</c:v>
                </c:pt>
                <c:pt idx="11">
                  <c:v>30.9563122892765</c:v>
                </c:pt>
                <c:pt idx="12">
                  <c:v>30.420635870734301</c:v>
                </c:pt>
              </c:numCache>
            </c:numRef>
          </c:xVal>
          <c:yVal>
            <c:numRef>
              <c:f>'2024Pricing_August_5to30MWh'!$P$6:$P$18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15</c:v>
                </c:pt>
                <c:pt idx="10">
                  <c:v>20</c:v>
                </c:pt>
                <c:pt idx="11">
                  <c:v>25</c:v>
                </c:pt>
                <c:pt idx="1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D7-4C72-B830-E491C167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V5 H0</c:v>
                </c:tx>
                <c:spPr>
                  <a:ln w="22225" cap="rnd">
                    <a:solidFill>
                      <a:srgbClr val="FF6600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rgbClr val="FF66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'2024Pricing_August_5to30MWh'!$G$6:$G$17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'2024Pricing_August_5to30MWh'!$B$6:$B$18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4D7-4C72-B830-E491C167AC48}"/>
                  </c:ext>
                </c:extLst>
              </c15:ser>
            </c15:filteredScatterSeries>
            <c15:filteredScatterSeries>
              <c15:ser>
                <c:idx val="0"/>
                <c:order val="5"/>
                <c:spPr>
                  <a:ln w="2222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'2024Pricing_August_5to30MWh'!$J$6:$J$17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29.713165513489297</c:v>
                      </c:pt>
                      <c:pt idx="1">
                        <c:v>29.286101504073301</c:v>
                      </c:pt>
                      <c:pt idx="2">
                        <c:v>29.277536681335597</c:v>
                      </c:pt>
                      <c:pt idx="3">
                        <c:v>29.261217006202799</c:v>
                      </c:pt>
                      <c:pt idx="4">
                        <c:v>29.20108564693</c:v>
                      </c:pt>
                      <c:pt idx="5">
                        <c:v>29.142796791074101</c:v>
                      </c:pt>
                      <c:pt idx="6">
                        <c:v>28.984690813410101</c:v>
                      </c:pt>
                      <c:pt idx="7">
                        <c:v>28.826584835746097</c:v>
                      </c:pt>
                      <c:pt idx="8">
                        <c:v>28.5103728804181</c:v>
                      </c:pt>
                      <c:pt idx="9">
                        <c:v>28.119239077992102</c:v>
                      </c:pt>
                      <c:pt idx="10">
                        <c:v>27.570430429953298</c:v>
                      </c:pt>
                      <c:pt idx="11">
                        <c:v>27.094777668993601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'2024Pricing_August_5to30MWh'!$I$6:$I$17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4D7-4C72-B830-E491C167AC48}"/>
                  </c:ext>
                </c:extLst>
              </c15:ser>
            </c15:filteredScatterSeries>
            <c15:filteredScatterSeries>
              <c15:ser>
                <c:idx val="2"/>
                <c:order val="7"/>
                <c:spPr>
                  <a:ln w="22225" cap="rnd">
                    <a:solidFill>
                      <a:schemeClr val="accent5">
                        <a:lumMod val="50000"/>
                      </a:schemeClr>
                    </a:solidFill>
                    <a:prstDash val="dashDot"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'2024Pricing_August_5to30MWh'!$L$6:$L$17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39.021528567310305</c:v>
                      </c:pt>
                      <c:pt idx="1">
                        <c:v>38.246871343338803</c:v>
                      </c:pt>
                      <c:pt idx="2">
                        <c:v>38.2446653192372</c:v>
                      </c:pt>
                      <c:pt idx="3">
                        <c:v>38.2419807102292</c:v>
                      </c:pt>
                      <c:pt idx="4">
                        <c:v>38.1563080056576</c:v>
                      </c:pt>
                      <c:pt idx="5">
                        <c:v>38.067454043025002</c:v>
                      </c:pt>
                      <c:pt idx="6">
                        <c:v>37.899088388496999</c:v>
                      </c:pt>
                      <c:pt idx="7">
                        <c:v>37.730722733969003</c:v>
                      </c:pt>
                      <c:pt idx="8">
                        <c:v>37.393991424912898</c:v>
                      </c:pt>
                      <c:pt idx="9">
                        <c:v>37.021042776846897</c:v>
                      </c:pt>
                      <c:pt idx="10">
                        <c:v>36.497922902907298</c:v>
                      </c:pt>
                      <c:pt idx="11">
                        <c:v>36.053334355866298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'2024Pricing_August_5to30MWh'!$I$6:$I$17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4D7-4C72-B830-E491C167AC48}"/>
                  </c:ext>
                </c:extLst>
              </c15:ser>
            </c15:filteredScatterSeries>
            <c15:filteredScatterSeries>
              <c15:ser>
                <c:idx val="3"/>
                <c:order val="8"/>
                <c:spPr>
                  <a:ln w="19050" cap="rnd">
                    <a:solidFill>
                      <a:schemeClr val="accent5">
                        <a:lumMod val="75000"/>
                      </a:schemeClr>
                    </a:solidFill>
                    <a:prstDash val="lgDashDot"/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rgbClr val="448DD0"/>
                    </a:solidFill>
                    <a:ln w="9525">
                      <a:solidFill>
                        <a:schemeClr val="bg2">
                          <a:lumMod val="9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'2024Pricing_August_5to30MWh'!$M$6:$M$17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'2024Pricing_August_5to30MWh'!$I$6:$I$17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4D7-4C72-B830-E491C167AC48}"/>
                  </c:ext>
                </c:extLst>
              </c15:ser>
            </c15:filteredScatterSeries>
            <c15:filteredScatterSeries>
              <c15:ser>
                <c:idx val="9"/>
                <c:order val="9"/>
                <c:spPr>
                  <a:ln w="2540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'2024Pricing_August_5to30MWh'!$Q$6:$Q$18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29.713165513489297</c:v>
                      </c:pt>
                      <c:pt idx="1">
                        <c:v>29.1778205154468</c:v>
                      </c:pt>
                      <c:pt idx="2">
                        <c:v>29.1692556927091</c:v>
                      </c:pt>
                      <c:pt idx="3">
                        <c:v>29.152936017576298</c:v>
                      </c:pt>
                      <c:pt idx="4">
                        <c:v>29.0928046583035</c:v>
                      </c:pt>
                      <c:pt idx="5">
                        <c:v>29.034515802447597</c:v>
                      </c:pt>
                      <c:pt idx="6">
                        <c:v>28.8764098247836</c:v>
                      </c:pt>
                      <c:pt idx="7">
                        <c:v>28.7183038471196</c:v>
                      </c:pt>
                      <c:pt idx="8">
                        <c:v>28.402091891791599</c:v>
                      </c:pt>
                      <c:pt idx="9">
                        <c:v>28.010958089365602</c:v>
                      </c:pt>
                      <c:pt idx="10">
                        <c:v>27.462149441326801</c:v>
                      </c:pt>
                      <c:pt idx="11">
                        <c:v>26.9864966803671</c:v>
                      </c:pt>
                      <c:pt idx="12">
                        <c:v>26.476397450500201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'2024Pricing_August_5to30MWh'!$P$6:$P$18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4D7-4C72-B830-E491C167AC4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19050" cap="rnd">
                    <a:solidFill>
                      <a:srgbClr val="4BA832"/>
                    </a:solidFill>
                    <a:prstDash val="dashDot"/>
                    <a:round/>
                  </a:ln>
                  <a:effectLst/>
                </c:spPr>
                <c:marker>
                  <c:symbol val="triangle"/>
                  <c:size val="8"/>
                  <c:spPr>
                    <a:solidFill>
                      <a:srgbClr val="4BA83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'2024Pricing_August_5to30MWh'!$S$6:$S$18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39.021528567310305</c:v>
                      </c:pt>
                      <c:pt idx="1">
                        <c:v>38.122046045326798</c:v>
                      </c:pt>
                      <c:pt idx="2">
                        <c:v>38.119840021225201</c:v>
                      </c:pt>
                      <c:pt idx="3">
                        <c:v>38.117155412217102</c:v>
                      </c:pt>
                      <c:pt idx="4">
                        <c:v>38.031482707645601</c:v>
                      </c:pt>
                      <c:pt idx="5">
                        <c:v>37.942628745012904</c:v>
                      </c:pt>
                      <c:pt idx="6">
                        <c:v>37.774263090484901</c:v>
                      </c:pt>
                      <c:pt idx="7">
                        <c:v>37.605897435956905</c:v>
                      </c:pt>
                      <c:pt idx="8">
                        <c:v>37.269166126900899</c:v>
                      </c:pt>
                      <c:pt idx="9">
                        <c:v>36.896217478834899</c:v>
                      </c:pt>
                      <c:pt idx="10">
                        <c:v>36.3730976048952</c:v>
                      </c:pt>
                      <c:pt idx="11">
                        <c:v>35.928509057854299</c:v>
                      </c:pt>
                      <c:pt idx="12">
                        <c:v>35.462995730887705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'2024Pricing_August_5to30MWh'!$P$6:$P$18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8</c:v>
                      </c:pt>
                      <c:pt idx="6">
                        <c:v>9</c:v>
                      </c:pt>
                      <c:pt idx="7">
                        <c:v>10</c:v>
                      </c:pt>
                      <c:pt idx="8">
                        <c:v>12</c:v>
                      </c:pt>
                      <c:pt idx="9">
                        <c:v>15</c:v>
                      </c:pt>
                      <c:pt idx="10">
                        <c:v>20</c:v>
                      </c:pt>
                      <c:pt idx="11">
                        <c:v>25</c:v>
                      </c:pt>
                      <c:pt idx="12">
                        <c:v>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4D7-4C72-B830-E491C167AC48}"/>
                  </c:ext>
                </c:extLst>
              </c15:ser>
            </c15:filteredScatterSeries>
          </c:ext>
        </c:extLst>
      </c:scatterChart>
      <c:valAx>
        <c:axId val="1211617856"/>
        <c:scaling>
          <c:orientation val="minMax"/>
          <c:max val="3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effectLst/>
                  </a:rPr>
                  <a:t>Hydropeaking Value ($ Million) </a:t>
                </a:r>
                <a:endParaRPr lang="en-US" sz="18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ajorUnit val="1"/>
        <c:minorUnit val="0.5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baseline="0">
                    <a:effectLst/>
                  </a:rPr>
                  <a:t>Number of Steady low Flow Days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4.9521911471453479E-3"/>
              <c:y val="0.24453993714943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2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165548</xdr:colOff>
      <xdr:row>71</xdr:row>
      <xdr:rowOff>58143</xdr:rowOff>
    </xdr:from>
    <xdr:to>
      <xdr:col>23</xdr:col>
      <xdr:colOff>204111</xdr:colOff>
      <xdr:row>105</xdr:row>
      <xdr:rowOff>84130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839477" y="14073500"/>
          <a:ext cx="10448027" cy="6502987"/>
          <a:chOff x="3839477" y="13883000"/>
          <a:chExt cx="10448027" cy="6502987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3839477" y="13883000"/>
            <a:ext cx="10448027" cy="6502987"/>
            <a:chOff x="4010152" y="3501166"/>
            <a:chExt cx="10979795" cy="6360263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GrpSpPr/>
          </xdr:nvGrpSpPr>
          <xdr:grpSpPr>
            <a:xfrm>
              <a:off x="4010152" y="3501166"/>
              <a:ext cx="10979795" cy="6360263"/>
              <a:chOff x="3768919" y="2476303"/>
              <a:chExt cx="12252001" cy="6201547"/>
            </a:xfrm>
          </xdr:grpSpPr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768919" y="2476303"/>
              <a:ext cx="12147671" cy="620154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GrpSpPr/>
            </xdr:nvGrpSpPr>
            <xdr:grpSpPr>
              <a:xfrm>
                <a:off x="14031160" y="5448687"/>
                <a:ext cx="1989760" cy="1334443"/>
                <a:chOff x="14284632" y="7083017"/>
                <a:chExt cx="1972263" cy="1283323"/>
              </a:xfrm>
            </xdr:grpSpPr>
            <xdr:sp macro="" textlink="">
              <xdr:nvSpPr>
                <xdr:cNvPr id="28" name="Rectangle 27">
                  <a:extLst>
                    <a:ext uri="{FF2B5EF4-FFF2-40B4-BE49-F238E27FC236}">
                      <a16:creationId xmlns:a16="http://schemas.microsoft.com/office/drawing/2014/main" id="{00000000-0008-0000-0000-000041000000}"/>
                    </a:ext>
                  </a:extLst>
                </xdr:cNvPr>
                <xdr:cNvSpPr/>
              </xdr:nvSpPr>
              <xdr:spPr>
                <a:xfrm>
                  <a:off x="14284632" y="7346936"/>
                  <a:ext cx="1972263" cy="10194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rPr>
                    <a:t>Yellow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</a:rPr>
                    <a:t> palette = H0 </a:t>
                  </a:r>
                  <a:endParaRPr lang="en-US" sz="1200" b="1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>
                      <a:solidFill>
                        <a:srgbClr val="00B0F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Blue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palette = H500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rgbClr val="92D05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Green 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palette = H750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rPr>
                    <a:t>Orange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palette =H1000</a:t>
                  </a:r>
                  <a:endParaRPr lang="en-US" sz="1100"/>
                </a:p>
              </xdr:txBody>
            </xdr:sp>
            <xdr:sp macro="" textlink="">
              <xdr:nvSpPr>
                <xdr:cNvPr id="29" name="Rectangle 28">
                  <a:extLst>
                    <a:ext uri="{FF2B5EF4-FFF2-40B4-BE49-F238E27FC236}">
                      <a16:creationId xmlns:a16="http://schemas.microsoft.com/office/drawing/2014/main" id="{00000000-0008-0000-0000-000042000000}"/>
                    </a:ext>
                  </a:extLst>
                </xdr:cNvPr>
                <xdr:cNvSpPr/>
              </xdr:nvSpPr>
              <xdr:spPr>
                <a:xfrm>
                  <a:off x="14875598" y="7083017"/>
                  <a:ext cx="714374" cy="22832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300" b="1">
                      <a:solidFill>
                        <a:sysClr val="windowText" lastClr="000000"/>
                      </a:solidFill>
                    </a:rPr>
                    <a:t>Colors</a:t>
                  </a:r>
                </a:p>
              </xdr:txBody>
            </xdr:sp>
          </xdr:grp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GrpSpPr/>
            </xdr:nvGrpSpPr>
            <xdr:grpSpPr>
              <a:xfrm>
                <a:off x="14328134" y="6675664"/>
                <a:ext cx="1581086" cy="1330519"/>
                <a:chOff x="16615767" y="7507474"/>
                <a:chExt cx="1581086" cy="1327874"/>
              </a:xfrm>
            </xdr:grpSpPr>
            <xdr:grpSp>
              <xdr:nvGrpSpPr>
                <xdr:cNvPr id="10" name="Group 9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/>
              </xdr:nvGrpSpPr>
              <xdr:grpSpPr>
                <a:xfrm>
                  <a:off x="16615767" y="7507474"/>
                  <a:ext cx="1581086" cy="1327874"/>
                  <a:chOff x="-128299" y="475616"/>
                  <a:chExt cx="1581158" cy="1328751"/>
                </a:xfrm>
              </xdr:grpSpPr>
              <xdr:grpSp>
                <xdr:nvGrpSpPr>
                  <xdr:cNvPr id="12" name="Group 11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GrpSpPr/>
                </xdr:nvGrpSpPr>
                <xdr:grpSpPr>
                  <a:xfrm>
                    <a:off x="-128299" y="475616"/>
                    <a:ext cx="1581158" cy="1328751"/>
                    <a:chOff x="-128299" y="475616"/>
                    <a:chExt cx="1581158" cy="1328751"/>
                  </a:xfrm>
                </xdr:grpSpPr>
                <xdr:grpSp>
                  <xdr:nvGrpSpPr>
                    <xdr:cNvPr id="14" name="Group 13">
                      <a:extLst>
                        <a:ext uri="{FF2B5EF4-FFF2-40B4-BE49-F238E27FC236}">
                          <a16:creationId xmlns:a16="http://schemas.microsoft.com/office/drawing/2014/main" id="{00000000-0008-0000-0000-00002D000000}"/>
                        </a:ext>
                      </a:extLst>
                    </xdr:cNvPr>
                    <xdr:cNvGrpSpPr/>
                  </xdr:nvGrpSpPr>
                  <xdr:grpSpPr>
                    <a:xfrm>
                      <a:off x="-128299" y="475616"/>
                      <a:ext cx="1581158" cy="1328751"/>
                      <a:chOff x="-126832" y="457265"/>
                      <a:chExt cx="1563061" cy="1277482"/>
                    </a:xfrm>
                  </xdr:grpSpPr>
                  <xdr:sp macro="" textlink="">
                    <xdr:nvSpPr>
                      <xdr:cNvPr id="16" name="Oval 15">
                        <a:extLst>
                          <a:ext uri="{FF2B5EF4-FFF2-40B4-BE49-F238E27FC236}">
                            <a16:creationId xmlns:a16="http://schemas.microsoft.com/office/drawing/2014/main" id="{00000000-0008-0000-0000-00002F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64" y="1554758"/>
                        <a:ext cx="174410" cy="150418"/>
                      </a:xfrm>
                      <a:prstGeom prst="ellipse">
                        <a:avLst/>
                      </a:prstGeom>
                      <a:solidFill>
                        <a:srgbClr val="FF0000"/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wrap="square"/>
                      <a:lstStyle>
                        <a:lvl1pPr marL="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grpSp>
                    <xdr:nvGrpSpPr>
                      <xdr:cNvPr id="17" name="Group 16">
                        <a:extLst>
                          <a:ext uri="{FF2B5EF4-FFF2-40B4-BE49-F238E27FC236}">
                            <a16:creationId xmlns:a16="http://schemas.microsoft.com/office/drawing/2014/main" id="{00000000-0008-0000-0000-000030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126832" y="457265"/>
                        <a:ext cx="1563061" cy="1277482"/>
                        <a:chOff x="-126899" y="457265"/>
                        <a:chExt cx="1563894" cy="1277482"/>
                      </a:xfrm>
                    </xdr:grpSpPr>
                    <xdr:cxnSp macro="">
                      <xdr:nvCxnSpPr>
                        <xdr:cNvPr id="18" name="Straight Connector 17">
                          <a:extLst>
                            <a:ext uri="{FF2B5EF4-FFF2-40B4-BE49-F238E27FC236}">
                              <a16:creationId xmlns:a16="http://schemas.microsoft.com/office/drawing/2014/main" id="{00000000-0008-0000-0000-000033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-56453" y="1382963"/>
                          <a:ext cx="365546" cy="0"/>
                        </a:xfrm>
                        <a:prstGeom prst="line">
                          <a:avLst/>
                        </a:prstGeom>
                        <a:ln w="28575">
                          <a:prstDash val="dash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9" name="Straight Connector 18">
                          <a:extLst>
                            <a:ext uri="{FF2B5EF4-FFF2-40B4-BE49-F238E27FC236}">
                              <a16:creationId xmlns:a16="http://schemas.microsoft.com/office/drawing/2014/main" id="{00000000-0008-0000-0000-000034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-36689" y="1119176"/>
                          <a:ext cx="319984" cy="0"/>
                        </a:xfrm>
                        <a:prstGeom prst="line">
                          <a:avLst/>
                        </a:prstGeom>
                        <a:ln w="28575">
                          <a:prstDash val="sysDash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grpSp>
                      <xdr:nvGrpSpPr>
                        <xdr:cNvPr id="20" name="Group 19">
                          <a:extLst>
                            <a:ext uri="{FF2B5EF4-FFF2-40B4-BE49-F238E27FC236}">
                              <a16:creationId xmlns:a16="http://schemas.microsoft.com/office/drawing/2014/main" id="{00000000-0008-0000-0000-00003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126899" y="457265"/>
                          <a:ext cx="1563894" cy="1277482"/>
                          <a:chOff x="-126961" y="459620"/>
                          <a:chExt cx="1564657" cy="1284061"/>
                        </a:xfrm>
                      </xdr:grpSpPr>
                      <xdr:grpSp>
                        <xdr:nvGrpSpPr>
                          <xdr:cNvPr id="21" name="Group 20">
                            <a:extLst>
                              <a:ext uri="{FF2B5EF4-FFF2-40B4-BE49-F238E27FC236}">
                                <a16:creationId xmlns:a16="http://schemas.microsoft.com/office/drawing/2014/main" id="{00000000-0008-0000-0000-000036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-47520" y="731152"/>
                            <a:ext cx="1485216" cy="1012529"/>
                            <a:chOff x="-48262" y="729607"/>
                            <a:chExt cx="1496892" cy="1009236"/>
                          </a:xfrm>
                        </xdr:grpSpPr>
                        <xdr:grpSp>
                          <xdr:nvGrpSpPr>
                            <xdr:cNvPr id="23" name="Group 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3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49534" y="729607"/>
                              <a:ext cx="1199096" cy="1009236"/>
                              <a:chOff x="257901" y="730477"/>
                              <a:chExt cx="1025126" cy="1011090"/>
                            </a:xfrm>
                          </xdr:grpSpPr>
                          <xdr:sp macro="" textlink="">
                            <xdr:nvSpPr>
                              <xdr:cNvPr id="25" name="Rectangle 2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E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68035" y="730477"/>
                                <a:ext cx="939707" cy="267111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bg1"/>
                              </a:solidFill>
                              <a:ln>
                                <a:noFill/>
                              </a:ln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wrap="square" rtlCol="0" anchor="t"/>
                              <a:lstStyle>
                                <a:lvl1pPr marL="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1pPr>
                                <a:lvl2pPr marL="457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2pPr>
                                <a:lvl3pPr marL="914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3pPr>
                                <a:lvl4pPr marL="1371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4pPr>
                                <a:lvl5pPr marL="18288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5pPr>
                                <a:lvl6pPr marL="22860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6pPr>
                                <a:lvl7pPr marL="2743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7pPr>
                                <a:lvl8pPr marL="3200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8pPr>
                                <a:lvl9pPr marL="3657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9pPr>
                              </a:lstStyle>
                              <a:p>
                                <a:pPr algn="l"/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= 0.72</a:t>
                                </a:r>
                                <a:r>
                                  <a:rPr lang="en-US" sz="1200" b="1" baseline="0">
                                    <a:solidFill>
                                      <a:schemeClr val="tx1"/>
                                    </a:solidFill>
                                  </a:rPr>
                                  <a:t> MAF</a:t>
                                </a:r>
                                <a:endParaRPr lang="en-US" sz="1200" b="1">
                                  <a:solidFill>
                                    <a:schemeClr val="tx1"/>
                                  </a:solidFill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6" name="Rectangle 2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F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47831" y="978276"/>
                                <a:ext cx="935196" cy="220276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bg1"/>
                              </a:solidFill>
                              <a:ln>
                                <a:noFill/>
                              </a:ln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wrap="square" rtlCol="0" anchor="t"/>
                              <a:lstStyle>
                                <a:lvl1pPr marL="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1pPr>
                                <a:lvl2pPr marL="457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2pPr>
                                <a:lvl3pPr marL="914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3pPr>
                                <a:lvl4pPr marL="1371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4pPr>
                                <a:lvl5pPr marL="18288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5pPr>
                                <a:lvl6pPr marL="22860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6pPr>
                                <a:lvl7pPr marL="2743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7pPr>
                                <a:lvl8pPr marL="3200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8pPr>
                                <a:lvl9pPr marL="3657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9pPr>
                              </a:lstStyle>
                              <a:p>
                                <a:pPr algn="l"/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= 0.83 MAF</a:t>
                                </a:r>
                              </a:p>
                            </xdr:txBody>
                          </xdr:sp>
                          <xdr:sp macro="" textlink="">
                            <xdr:nvSpPr>
                              <xdr:cNvPr id="27" name="Rectangle 2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0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57901" y="1493905"/>
                                <a:ext cx="976373" cy="247662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bg1"/>
                              </a:solidFill>
                              <a:ln>
                                <a:noFill/>
                              </a:ln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wrap="square" rtlCol="0" anchor="t"/>
                              <a:lstStyle>
                                <a:lvl1pPr marL="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1pPr>
                                <a:lvl2pPr marL="457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2pPr>
                                <a:lvl3pPr marL="914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3pPr>
                                <a:lvl4pPr marL="1371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4pPr>
                                <a:lvl5pPr marL="18288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5pPr>
                                <a:lvl6pPr marL="22860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6pPr>
                                <a:lvl7pPr marL="2743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7pPr>
                                <a:lvl8pPr marL="3200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8pPr>
                                <a:lvl9pPr marL="3657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9pPr>
                              </a:lstStyle>
                              <a:p>
                                <a:pPr algn="l"/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= Ideal</a:t>
                                </a:r>
                                <a:r>
                                  <a:rPr lang="en-US" sz="1200" b="1" baseline="0">
                                    <a:solidFill>
                                      <a:schemeClr val="tx1"/>
                                    </a:solidFill>
                                  </a:rPr>
                                  <a:t> </a:t>
                                </a:r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Point</a:t>
                                </a:r>
                              </a:p>
                            </xdr:txBody>
                          </xdr:sp>
                        </xdr:grpSp>
                        <xdr:cxnSp macro="">
                          <xdr:nvCxnSpPr>
                            <xdr:cNvPr id="24" name="Straight Connector 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39000000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-48262" y="874112"/>
                              <a:ext cx="326663" cy="0"/>
                            </a:xfrm>
                            <a:prstGeom prst="line">
                              <a:avLst/>
                            </a:prstGeom>
                            <a:ln w="28575">
                              <a:prstDash val="sysDot"/>
                            </a:ln>
                          </xdr:spPr>
                          <xdr:style>
                            <a:lnRef idx="1">
                              <a:schemeClr val="dk1"/>
                            </a:lnRef>
                            <a:fillRef idx="0">
                              <a:schemeClr val="dk1"/>
                            </a:fillRef>
                            <a:effectRef idx="0">
                              <a:schemeClr val="dk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</xdr:grpSp>
                      <xdr:sp macro="" textlink="">
                        <xdr:nvSpPr>
                          <xdr:cNvPr id="22" name="Rectangle 21">
                            <a:extLst>
                              <a:ext uri="{FF2B5EF4-FFF2-40B4-BE49-F238E27FC236}">
                                <a16:creationId xmlns:a16="http://schemas.microsoft.com/office/drawing/2014/main" id="{00000000-0008-0000-0000-000037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126961" y="459620"/>
                            <a:ext cx="1515554" cy="33559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wrap="square" rtlCol="0" anchor="t"/>
                          <a:lstStyle>
                            <a:lvl1pPr marL="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1pPr>
                            <a:lvl2pPr marL="457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2pPr>
                            <a:lvl3pPr marL="914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3pPr>
                            <a:lvl4pPr marL="1371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4pPr>
                            <a:lvl5pPr marL="18288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5pPr>
                            <a:lvl6pPr marL="22860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6pPr>
                            <a:lvl7pPr marL="2743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7pPr>
                            <a:lvl8pPr marL="3200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8pPr>
                            <a:lvl9pPr marL="3657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9pPr>
                          </a:lstStyle>
                          <a:p>
                            <a:pPr algn="l"/>
                            <a:r>
                              <a:rPr lang="en-US" sz="1200" b="1">
                                <a:solidFill>
                                  <a:sysClr val="windowText" lastClr="000000"/>
                                </a:solidFill>
                              </a:rPr>
                              <a:t>Monthly</a:t>
                            </a:r>
                            <a:r>
                              <a:rPr lang="en-US" sz="1200" b="1" baseline="0">
                                <a:solidFill>
                                  <a:sysClr val="windowText" lastClr="000000"/>
                                </a:solidFill>
                              </a:rPr>
                              <a:t> Volume</a:t>
                            </a:r>
                            <a:endParaRPr lang="en-US" sz="1200" b="1">
                              <a:solidFill>
                                <a:sysClr val="windowText" lastClr="000000"/>
                              </a:solidFill>
                            </a:endParaRPr>
                          </a:p>
                        </xdr:txBody>
                      </xdr:sp>
                    </xdr:grpSp>
                  </xdr:grpSp>
                </xdr:grpSp>
                <xdr:sp macro="" textlink="">
                  <xdr:nvSpPr>
                    <xdr:cNvPr id="15" name="Diamond 14">
                      <a:extLst>
                        <a:ext uri="{FF2B5EF4-FFF2-40B4-BE49-F238E27FC236}">
                          <a16:creationId xmlns:a16="http://schemas.microsoft.com/office/drawing/2014/main" id="{00000000-0008-0000-0000-00002E000000}"/>
                        </a:ext>
                      </a:extLst>
                    </xdr:cNvPr>
                    <xdr:cNvSpPr/>
                  </xdr:nvSpPr>
                  <xdr:spPr>
                    <a:xfrm>
                      <a:off x="57530" y="845462"/>
                      <a:ext cx="100099" cy="114299"/>
                    </a:xfrm>
                    <a:prstGeom prst="diamond">
                      <a:avLst/>
                    </a:prstGeom>
                    <a:solidFill>
                      <a:schemeClr val="bg2">
                        <a:lumMod val="75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t"/>
                    <a:lstStyle>
                      <a:lvl1pPr marL="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l"/>
                      <a:endParaRPr lang="en-US" sz="1100"/>
                    </a:p>
                  </xdr:txBody>
                </xdr:sp>
              </xdr:grpSp>
              <xdr:sp macro="" textlink="">
                <xdr:nvSpPr>
                  <xdr:cNvPr id="13" name="Flowchart: Connector 12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/>
                </xdr:nvSpPr>
                <xdr:spPr>
                  <a:xfrm>
                    <a:off x="98214" y="1124873"/>
                    <a:ext cx="99950" cy="105227"/>
                  </a:xfrm>
                  <a:prstGeom prst="flowChartConnector">
                    <a:avLst/>
                  </a:prstGeom>
                  <a:solidFill>
                    <a:schemeClr val="bg2">
                      <a:lumMod val="75000"/>
                    </a:schemeClr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/>
                  <a:lstStyle>
                    <a:lvl1pPr marL="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endParaRPr lang="en-US"/>
                  </a:p>
                </xdr:txBody>
              </xdr:sp>
            </xdr:grpSp>
            <xdr:sp macro="" textlink="">
              <xdr:nvSpPr>
                <xdr:cNvPr id="11" name="Isosceles Triangle 10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SpPr/>
              </xdr:nvSpPr>
              <xdr:spPr>
                <a:xfrm>
                  <a:off x="16820810" y="8394944"/>
                  <a:ext cx="129036" cy="134807"/>
                </a:xfrm>
                <a:prstGeom prst="triangle">
                  <a:avLst/>
                </a:prstGeom>
                <a:solidFill>
                  <a:schemeClr val="bg2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/>
                <a:lstStyle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</xdr:grpSp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13133192" y="3752583"/>
              <a:ext cx="156590" cy="162550"/>
            </a:xfrm>
            <a:prstGeom prst="ellips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232294" y="19144961"/>
            <a:ext cx="905527" cy="33827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>
                <a:solidFill>
                  <a:schemeClr val="tx1"/>
                </a:solidFill>
              </a:rPr>
              <a:t>= 0.94 MAF</a:t>
            </a:r>
          </a:p>
        </xdr:txBody>
      </xdr:sp>
    </xdr:grpSp>
    <xdr:clientData/>
  </xdr:twoCellAnchor>
  <xdr:twoCellAnchor>
    <xdr:from>
      <xdr:col>8</xdr:col>
      <xdr:colOff>0</xdr:colOff>
      <xdr:row>18</xdr:row>
      <xdr:rowOff>0</xdr:rowOff>
    </xdr:from>
    <xdr:to>
      <xdr:col>24</xdr:col>
      <xdr:colOff>415655</xdr:colOff>
      <xdr:row>51</xdr:row>
      <xdr:rowOff>117518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4898571" y="3483429"/>
          <a:ext cx="10212798" cy="6512875"/>
          <a:chOff x="3772573" y="3426215"/>
          <a:chExt cx="10261866" cy="6219909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pSpPr/>
        </xdr:nvGrpSpPr>
        <xdr:grpSpPr>
          <a:xfrm>
            <a:off x="3768763" y="3422405"/>
            <a:ext cx="10269486" cy="6219909"/>
            <a:chOff x="3768763" y="3422405"/>
            <a:chExt cx="10269486" cy="6219909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GrpSpPr/>
          </xdr:nvGrpSpPr>
          <xdr:grpSpPr>
            <a:xfrm>
              <a:off x="3772573" y="3426215"/>
              <a:ext cx="10261701" cy="6219909"/>
              <a:chOff x="3788593" y="3564760"/>
              <a:chExt cx="10270576" cy="6501286"/>
            </a:xfrm>
          </xdr:grpSpPr>
          <xdr:grpSp>
            <xdr:nvGrpSpPr>
              <xdr:cNvPr id="58" name="Group 57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GrpSpPr/>
            </xdr:nvGrpSpPr>
            <xdr:grpSpPr>
              <a:xfrm>
                <a:off x="3788593" y="3564760"/>
                <a:ext cx="10270576" cy="6501286"/>
                <a:chOff x="4006079" y="3497027"/>
                <a:chExt cx="10886299" cy="6360263"/>
              </a:xfrm>
            </xdr:grpSpPr>
            <xdr:graphicFrame macro="">
              <xdr:nvGraphicFramePr>
                <xdr:cNvPr id="62" name="Chart 61">
                  <a:extLst>
                    <a:ext uri="{FF2B5EF4-FFF2-40B4-BE49-F238E27FC236}">
                      <a16:creationId xmlns:a16="http://schemas.microsoft.com/office/drawing/2014/main" id="{00000000-0008-0000-0000-000059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4006079" y="3497027"/>
                <a:ext cx="10886299" cy="636026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  <xdr:sp macro="" textlink="">
              <xdr:nvSpPr>
                <xdr:cNvPr id="63" name="Oval 62">
                  <a:extLst>
                    <a:ext uri="{FF2B5EF4-FFF2-40B4-BE49-F238E27FC236}">
                      <a16:creationId xmlns:a16="http://schemas.microsoft.com/office/drawing/2014/main" id="{00000000-0008-0000-0000-00005A000000}"/>
                    </a:ext>
                  </a:extLst>
                </xdr:cNvPr>
                <xdr:cNvSpPr/>
              </xdr:nvSpPr>
              <xdr:spPr>
                <a:xfrm>
                  <a:off x="13264028" y="3651731"/>
                  <a:ext cx="141876" cy="170800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/>
                <a:lstStyle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  <xdr:grpSp>
            <xdr:nvGrpSpPr>
              <xdr:cNvPr id="59" name="Group 58">
                <a:extLst>
                  <a:ext uri="{FF2B5EF4-FFF2-40B4-BE49-F238E27FC236}">
                    <a16:creationId xmlns:a16="http://schemas.microsoft.com/office/drawing/2014/main" id="{00000000-0008-0000-0000-000056000000}"/>
                  </a:ext>
                </a:extLst>
              </xdr:cNvPr>
              <xdr:cNvGrpSpPr/>
            </xdr:nvGrpSpPr>
            <xdr:grpSpPr>
              <a:xfrm>
                <a:off x="12719756" y="7016087"/>
                <a:ext cx="1220990" cy="1389889"/>
                <a:chOff x="16705742" y="6686946"/>
                <a:chExt cx="1632135" cy="1334893"/>
              </a:xfrm>
            </xdr:grpSpPr>
            <xdr:sp macro="" textlink="">
              <xdr:nvSpPr>
                <xdr:cNvPr id="60" name="Rectangle 59">
                  <a:extLst>
                    <a:ext uri="{FF2B5EF4-FFF2-40B4-BE49-F238E27FC236}">
                      <a16:creationId xmlns:a16="http://schemas.microsoft.com/office/drawing/2014/main" id="{00000000-0008-0000-0000-000057000000}"/>
                    </a:ext>
                  </a:extLst>
                </xdr:cNvPr>
                <xdr:cNvSpPr/>
              </xdr:nvSpPr>
              <xdr:spPr>
                <a:xfrm>
                  <a:off x="16705742" y="6953659"/>
                  <a:ext cx="1632135" cy="106818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ysClr val="windowText" lastClr="000000"/>
                      </a:solidFill>
                    </a:rPr>
                    <a:t>           = H0 </a:t>
                  </a:r>
                  <a:endParaRPr lang="en-US" sz="1200" b="1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         = H500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rgbClr val="92D05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         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 H750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         =H1000</a:t>
                  </a:r>
                  <a:endParaRPr lang="en-US" sz="1100"/>
                </a:p>
              </xdr:txBody>
            </xdr:sp>
            <xdr:sp macro="" textlink="">
              <xdr:nvSpPr>
                <xdr:cNvPr id="61" name="Rectangle 60">
                  <a:extLst>
                    <a:ext uri="{FF2B5EF4-FFF2-40B4-BE49-F238E27FC236}">
                      <a16:creationId xmlns:a16="http://schemas.microsoft.com/office/drawing/2014/main" id="{00000000-0008-0000-0000-000058000000}"/>
                    </a:ext>
                  </a:extLst>
                </xdr:cNvPr>
                <xdr:cNvSpPr/>
              </xdr:nvSpPr>
              <xdr:spPr>
                <a:xfrm>
                  <a:off x="16992598" y="6686946"/>
                  <a:ext cx="838646" cy="23925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300" b="1">
                      <a:solidFill>
                        <a:sysClr val="windowText" lastClr="000000"/>
                      </a:solidFill>
                    </a:rPr>
                    <a:t>Colors</a:t>
                  </a:r>
                </a:p>
              </xdr:txBody>
            </xdr:sp>
          </xdr:grpSp>
        </xdr:grpSp>
        <xdr:grpSp>
          <xdr:nvGrpSpPr>
            <xdr:cNvPr id="34" name="Group 33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/>
          </xdr:nvGrpSpPr>
          <xdr:grpSpPr>
            <a:xfrm>
              <a:off x="12715997" y="8007520"/>
              <a:ext cx="1318442" cy="1129427"/>
              <a:chOff x="16744061" y="7032172"/>
              <a:chExt cx="1390531" cy="1152732"/>
            </a:xfrm>
          </xdr:grpSpPr>
          <xdr:grpSp>
            <xdr:nvGrpSpPr>
              <xdr:cNvPr id="41" name="Group 40">
                <a:extLst>
                  <a:ext uri="{FF2B5EF4-FFF2-40B4-BE49-F238E27FC236}">
                    <a16:creationId xmlns:a16="http://schemas.microsoft.com/office/drawing/2014/main" id="{00000000-0008-0000-0000-000044000000}"/>
                  </a:ext>
                </a:extLst>
              </xdr:cNvPr>
              <xdr:cNvGrpSpPr/>
            </xdr:nvGrpSpPr>
            <xdr:grpSpPr>
              <a:xfrm>
                <a:off x="16744061" y="7032172"/>
                <a:ext cx="1390531" cy="1152732"/>
                <a:chOff x="1" y="0"/>
                <a:chExt cx="1390595" cy="1153495"/>
              </a:xfrm>
            </xdr:grpSpPr>
            <xdr:grpSp>
              <xdr:nvGrpSpPr>
                <xdr:cNvPr id="43" name="Group 42">
                  <a:extLst>
                    <a:ext uri="{FF2B5EF4-FFF2-40B4-BE49-F238E27FC236}">
                      <a16:creationId xmlns:a16="http://schemas.microsoft.com/office/drawing/2014/main" id="{00000000-0008-0000-0000-000046000000}"/>
                    </a:ext>
                  </a:extLst>
                </xdr:cNvPr>
                <xdr:cNvGrpSpPr/>
              </xdr:nvGrpSpPr>
              <xdr:grpSpPr>
                <a:xfrm>
                  <a:off x="1" y="0"/>
                  <a:ext cx="1390595" cy="1153495"/>
                  <a:chOff x="1" y="0"/>
                  <a:chExt cx="1390595" cy="1153495"/>
                </a:xfrm>
              </xdr:grpSpPr>
              <xdr:grpSp>
                <xdr:nvGrpSpPr>
                  <xdr:cNvPr id="45" name="Group 44">
                    <a:extLst>
                      <a:ext uri="{FF2B5EF4-FFF2-40B4-BE49-F238E27FC236}">
                        <a16:creationId xmlns:a16="http://schemas.microsoft.com/office/drawing/2014/main" id="{00000000-0008-0000-0000-000048000000}"/>
                      </a:ext>
                    </a:extLst>
                  </xdr:cNvPr>
                  <xdr:cNvGrpSpPr/>
                </xdr:nvGrpSpPr>
                <xdr:grpSpPr>
                  <a:xfrm>
                    <a:off x="1" y="0"/>
                    <a:ext cx="1390595" cy="1153495"/>
                    <a:chOff x="0" y="0"/>
                    <a:chExt cx="1375413" cy="1108988"/>
                  </a:xfrm>
                </xdr:grpSpPr>
                <xdr:cxnSp macro="">
                  <xdr:nvCxnSpPr>
                    <xdr:cNvPr id="47" name="Straight Connector 46">
                      <a:extLst>
                        <a:ext uri="{FF2B5EF4-FFF2-40B4-BE49-F238E27FC236}">
                          <a16:creationId xmlns:a16="http://schemas.microsoft.com/office/drawing/2014/main" id="{00000000-0008-0000-0000-00004A000000}"/>
                        </a:ext>
                      </a:extLst>
                    </xdr:cNvPr>
                    <xdr:cNvCxnSpPr/>
                  </xdr:nvCxnSpPr>
                  <xdr:spPr>
                    <a:xfrm>
                      <a:off x="1981" y="925698"/>
                      <a:ext cx="365546" cy="0"/>
                    </a:xfrm>
                    <a:prstGeom prst="line">
                      <a:avLst/>
                    </a:prstGeom>
                    <a:ln w="28575">
                      <a:prstDash val="dashDot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48" name="Straight Connector 47">
                      <a:extLst>
                        <a:ext uri="{FF2B5EF4-FFF2-40B4-BE49-F238E27FC236}">
                          <a16:creationId xmlns:a16="http://schemas.microsoft.com/office/drawing/2014/main" id="{00000000-0008-0000-0000-00004B000000}"/>
                        </a:ext>
                      </a:extLst>
                    </xdr:cNvPr>
                    <xdr:cNvCxnSpPr/>
                  </xdr:nvCxnSpPr>
                  <xdr:spPr>
                    <a:xfrm>
                      <a:off x="48715" y="642536"/>
                      <a:ext cx="319984" cy="0"/>
                    </a:xfrm>
                    <a:prstGeom prst="line">
                      <a:avLst/>
                    </a:prstGeom>
                    <a:ln w="28575">
                      <a:prstDash val="sysDash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grpSp>
                  <xdr:nvGrpSpPr>
                    <xdr:cNvPr id="49" name="Group 48">
                      <a:extLst>
                        <a:ext uri="{FF2B5EF4-FFF2-40B4-BE49-F238E27FC236}">
                          <a16:creationId xmlns:a16="http://schemas.microsoft.com/office/drawing/2014/main" id="{00000000-0008-0000-0000-00004C000000}"/>
                        </a:ext>
                      </a:extLst>
                    </xdr:cNvPr>
                    <xdr:cNvGrpSpPr/>
                  </xdr:nvGrpSpPr>
                  <xdr:grpSpPr>
                    <a:xfrm>
                      <a:off x="0" y="0"/>
                      <a:ext cx="1375413" cy="1108988"/>
                      <a:chOff x="0" y="0"/>
                      <a:chExt cx="1376085" cy="1114700"/>
                    </a:xfrm>
                  </xdr:grpSpPr>
                  <xdr:grpSp>
                    <xdr:nvGrpSpPr>
                      <xdr:cNvPr id="50" name="Group 49">
                        <a:extLst>
                          <a:ext uri="{FF2B5EF4-FFF2-40B4-BE49-F238E27FC236}">
                            <a16:creationId xmlns:a16="http://schemas.microsoft.com/office/drawing/2014/main" id="{00000000-0008-0000-0000-00004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6921" y="255953"/>
                        <a:ext cx="1329164" cy="858747"/>
                        <a:chOff x="46921" y="255953"/>
                        <a:chExt cx="1339613" cy="855953"/>
                      </a:xfrm>
                    </xdr:grpSpPr>
                    <xdr:grpSp>
                      <xdr:nvGrpSpPr>
                        <xdr:cNvPr id="52" name="Group 51">
                          <a:extLst>
                            <a:ext uri="{FF2B5EF4-FFF2-40B4-BE49-F238E27FC236}">
                              <a16:creationId xmlns:a16="http://schemas.microsoft.com/office/drawing/2014/main" id="{00000000-0008-0000-0000-00004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31954" y="255953"/>
                          <a:ext cx="1054580" cy="855953"/>
                          <a:chOff x="331639" y="255953"/>
                          <a:chExt cx="1041112" cy="840064"/>
                        </a:xfrm>
                      </xdr:grpSpPr>
                      <xdr:grpSp>
                        <xdr:nvGrpSpPr>
                          <xdr:cNvPr id="54" name="Group 53">
                            <a:extLst>
                              <a:ext uri="{FF2B5EF4-FFF2-40B4-BE49-F238E27FC236}">
                                <a16:creationId xmlns:a16="http://schemas.microsoft.com/office/drawing/2014/main" id="{00000000-0008-0000-0000-00005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31639" y="255953"/>
                            <a:ext cx="987557" cy="560482"/>
                            <a:chOff x="328364" y="255953"/>
                            <a:chExt cx="855200" cy="572132"/>
                          </a:xfrm>
                        </xdr:grpSpPr>
                        <xdr:sp macro="" textlink="">
                          <xdr:nvSpPr>
                            <xdr:cNvPr id="56" name="Rectangle 55">
                              <a:extLst>
                                <a:ext uri="{FF2B5EF4-FFF2-40B4-BE49-F238E27FC236}">
                                  <a16:creationId xmlns:a16="http://schemas.microsoft.com/office/drawing/2014/main" id="{00000000-0008-0000-0000-00005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30033" y="255953"/>
                              <a:ext cx="838514" cy="208683"/>
                            </a:xfrm>
                            <a:prstGeom prst="rect">
                              <a:avLst/>
                            </a:prstGeom>
                            <a:solidFill>
                              <a:schemeClr val="bg1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wrap="square" rtlCol="0" anchor="t"/>
                            <a:lstStyle>
                              <a:lvl1pPr marL="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1pPr>
                              <a:lvl2pPr marL="457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2pPr>
                              <a:lvl3pPr marL="914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3pPr>
                              <a:lvl4pPr marL="1371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4pPr>
                              <a:lvl5pPr marL="18288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5pPr>
                              <a:lvl6pPr marL="22860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6pPr>
                              <a:lvl7pPr marL="2743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7pPr>
                              <a:lvl8pPr marL="3200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8pPr>
                              <a:lvl9pPr marL="3657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9pPr>
                            </a:lstStyle>
                            <a:p>
                              <a:pPr algn="l"/>
                              <a:r>
                                <a:rPr lang="en-US" sz="1200" b="1">
                                  <a:solidFill>
                                    <a:schemeClr val="tx1"/>
                                  </a:solidFill>
                                </a:rPr>
                                <a:t>= 0.72</a:t>
                              </a:r>
                              <a:r>
                                <a:rPr lang="en-US" sz="1200" b="1" baseline="0">
                                  <a:solidFill>
                                    <a:schemeClr val="tx1"/>
                                  </a:solidFill>
                                </a:rPr>
                                <a:t> MAF</a:t>
                              </a:r>
                              <a:endParaRPr lang="en-US" sz="1200" b="1">
                                <a:solidFill>
                                  <a:schemeClr val="tx1"/>
                                </a:solidFill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57" name="Rectangle 56">
                              <a:extLst>
                                <a:ext uri="{FF2B5EF4-FFF2-40B4-BE49-F238E27FC236}">
                                  <a16:creationId xmlns:a16="http://schemas.microsoft.com/office/drawing/2014/main" id="{00000000-0008-0000-0000-00005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28364" y="511530"/>
                              <a:ext cx="855200" cy="316555"/>
                            </a:xfrm>
                            <a:prstGeom prst="rect">
                              <a:avLst/>
                            </a:prstGeom>
                            <a:solidFill>
                              <a:schemeClr val="bg1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wrap="square" rtlCol="0" anchor="t"/>
                            <a:lstStyle>
                              <a:lvl1pPr marL="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1pPr>
                              <a:lvl2pPr marL="457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2pPr>
                              <a:lvl3pPr marL="914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3pPr>
                              <a:lvl4pPr marL="1371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4pPr>
                              <a:lvl5pPr marL="18288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5pPr>
                              <a:lvl6pPr marL="22860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6pPr>
                              <a:lvl7pPr marL="2743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7pPr>
                              <a:lvl8pPr marL="3200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8pPr>
                              <a:lvl9pPr marL="3657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9pPr>
                            </a:lstStyle>
                            <a:p>
                              <a:pPr algn="l"/>
                              <a:r>
                                <a:rPr lang="en-US" sz="1200" b="1">
                                  <a:solidFill>
                                    <a:schemeClr val="tx1"/>
                                  </a:solidFill>
                                </a:rPr>
                                <a:t>= 0.83 MAF</a:t>
                              </a:r>
                            </a:p>
                          </xdr:txBody>
                        </xdr:sp>
                      </xdr:grpSp>
                      <xdr:sp macro="" textlink="">
                        <xdr:nvSpPr>
                          <xdr:cNvPr id="55" name="Rectangle 54">
                            <a:extLst>
                              <a:ext uri="{FF2B5EF4-FFF2-40B4-BE49-F238E27FC236}">
                                <a16:creationId xmlns:a16="http://schemas.microsoft.com/office/drawing/2014/main" id="{00000000-0008-0000-0000-000052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10840" y="786829"/>
                            <a:ext cx="961911" cy="309188"/>
                          </a:xfrm>
                          <a:prstGeom prst="rect">
                            <a:avLst/>
                          </a:prstGeom>
                          <a:solidFill>
                            <a:schemeClr val="bg1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wrap="square" rtlCol="0" anchor="t"/>
                          <a:lstStyle>
                            <a:lvl1pPr marL="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1pPr>
                            <a:lvl2pPr marL="457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2pPr>
                            <a:lvl3pPr marL="914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3pPr>
                            <a:lvl4pPr marL="1371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4pPr>
                            <a:lvl5pPr marL="18288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5pPr>
                            <a:lvl6pPr marL="22860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6pPr>
                            <a:lvl7pPr marL="2743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7pPr>
                            <a:lvl8pPr marL="3200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8pPr>
                            <a:lvl9pPr marL="3657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9pPr>
                          </a:lstStyle>
                          <a:p>
                            <a:pPr algn="l"/>
                            <a:r>
                              <a:rPr lang="en-US" sz="1200" b="1">
                                <a:solidFill>
                                  <a:schemeClr val="tx1"/>
                                </a:solidFill>
                              </a:rPr>
                              <a:t>= 0.94 MAF</a:t>
                            </a:r>
                          </a:p>
                        </xdr:txBody>
                      </xdr:sp>
                    </xdr:grpSp>
                    <xdr:cxnSp macro="">
                      <xdr:nvCxnSpPr>
                        <xdr:cNvPr id="53" name="Straight Connector 52">
                          <a:extLst>
                            <a:ext uri="{FF2B5EF4-FFF2-40B4-BE49-F238E27FC236}">
                              <a16:creationId xmlns:a16="http://schemas.microsoft.com/office/drawing/2014/main" id="{00000000-0008-0000-0000-000050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46921" y="400457"/>
                          <a:ext cx="326663" cy="0"/>
                        </a:xfrm>
                        <a:prstGeom prst="line">
                          <a:avLst/>
                        </a:prstGeom>
                        <a:ln w="285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  <xdr:sp macro="" textlink="">
                    <xdr:nvSpPr>
                      <xdr:cNvPr id="51" name="Rectangle 50">
                        <a:extLst>
                          <a:ext uri="{FF2B5EF4-FFF2-40B4-BE49-F238E27FC236}">
                            <a16:creationId xmlns:a16="http://schemas.microsoft.com/office/drawing/2014/main" id="{00000000-0008-0000-0000-00004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1326026" cy="25166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wrap="square" rtlCol="0" anchor="t"/>
                      <a:lstStyle>
                        <a:lvl1pPr marL="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l"/>
                        <a:r>
                          <a:rPr lang="en-US" sz="1200" b="1">
                            <a:solidFill>
                              <a:sysClr val="windowText" lastClr="000000"/>
                            </a:solidFill>
                          </a:rPr>
                          <a:t>Monthly</a:t>
                        </a:r>
                        <a:r>
                          <a:rPr lang="en-US" sz="1200" b="1" baseline="0">
                            <a:solidFill>
                              <a:sysClr val="windowText" lastClr="000000"/>
                            </a:solidFill>
                          </a:rPr>
                          <a:t> Volume</a:t>
                        </a:r>
                        <a:endParaRPr lang="en-US" sz="1200" b="1">
                          <a:solidFill>
                            <a:sysClr val="windowText" lastClr="000000"/>
                          </a:solidFill>
                        </a:endParaRPr>
                      </a:p>
                    </xdr:txBody>
                  </xdr:sp>
                </xdr:grpSp>
              </xdr:grpSp>
              <xdr:sp macro="" textlink="">
                <xdr:nvSpPr>
                  <xdr:cNvPr id="46" name="Diamond 45">
                    <a:extLst>
                      <a:ext uri="{FF2B5EF4-FFF2-40B4-BE49-F238E27FC236}">
                        <a16:creationId xmlns:a16="http://schemas.microsoft.com/office/drawing/2014/main" id="{00000000-0008-0000-0000-000049000000}"/>
                      </a:ext>
                    </a:extLst>
                  </xdr:cNvPr>
                  <xdr:cNvSpPr/>
                </xdr:nvSpPr>
                <xdr:spPr>
                  <a:xfrm>
                    <a:off x="139333" y="357754"/>
                    <a:ext cx="100099" cy="114299"/>
                  </a:xfrm>
                  <a:prstGeom prst="diamond">
                    <a:avLst/>
                  </a:prstGeom>
                  <a:solidFill>
                    <a:schemeClr val="bg2">
                      <a:lumMod val="75000"/>
                    </a:schemeClr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t"/>
                  <a:lstStyle>
                    <a:lvl1pPr marL="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44" name="Flowchart: Connector 43">
                  <a:extLst>
                    <a:ext uri="{FF2B5EF4-FFF2-40B4-BE49-F238E27FC236}">
                      <a16:creationId xmlns:a16="http://schemas.microsoft.com/office/drawing/2014/main" id="{00000000-0008-0000-0000-000047000000}"/>
                    </a:ext>
                  </a:extLst>
                </xdr:cNvPr>
                <xdr:cNvSpPr/>
              </xdr:nvSpPr>
              <xdr:spPr>
                <a:xfrm>
                  <a:off x="157293" y="608950"/>
                  <a:ext cx="99950" cy="105227"/>
                </a:xfrm>
                <a:prstGeom prst="flowChartConnector">
                  <a:avLst/>
                </a:prstGeom>
                <a:solidFill>
                  <a:schemeClr val="bg2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/>
                <a:lstStyle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  <xdr:sp macro="" textlink="">
            <xdr:nvSpPr>
              <xdr:cNvPr id="42" name="Isosceles Triangle 41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>
              <a:xfrm>
                <a:off x="16875342" y="7923670"/>
                <a:ext cx="129036" cy="134807"/>
              </a:xfrm>
              <a:prstGeom prst="triangle">
                <a:avLst/>
              </a:prstGeom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/>
              <a:lstStyle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12902920" y="7057576"/>
              <a:ext cx="156058" cy="710727"/>
              <a:chOff x="13590236" y="6206246"/>
              <a:chExt cx="159868" cy="702642"/>
            </a:xfrm>
          </xdr:grpSpPr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>
              <a:xfrm>
                <a:off x="13590236" y="6206246"/>
                <a:ext cx="151076" cy="127032"/>
              </a:xfrm>
              <a:prstGeom prst="rect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37" name="Group 36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GrpSpPr/>
            </xdr:nvGrpSpPr>
            <xdr:grpSpPr>
              <a:xfrm>
                <a:off x="13593167" y="6389324"/>
                <a:ext cx="156937" cy="519564"/>
                <a:chOff x="13593167" y="6389324"/>
                <a:chExt cx="156937" cy="519564"/>
              </a:xfrm>
            </xdr:grpSpPr>
            <xdr:sp macro="" textlink="">
              <xdr:nvSpPr>
                <xdr:cNvPr id="38" name="Rectangle 37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/>
              </xdr:nvSpPr>
              <xdr:spPr>
                <a:xfrm>
                  <a:off x="13593167" y="6389324"/>
                  <a:ext cx="151076" cy="127031"/>
                </a:xfrm>
                <a:prstGeom prst="rect">
                  <a:avLst/>
                </a:prstGeom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9" name="Rectangle 38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13599028" y="6578262"/>
                  <a:ext cx="151076" cy="127032"/>
                </a:xfrm>
                <a:prstGeom prst="rect">
                  <a:avLst/>
                </a:prstGeom>
                <a:solidFill>
                  <a:srgbClr val="01BCFF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40" name="Rectangle 39">
                  <a:extLst>
                    <a:ext uri="{FF2B5EF4-FFF2-40B4-BE49-F238E27FC236}">
                      <a16:creationId xmlns:a16="http://schemas.microsoft.com/office/drawing/2014/main" id="{00000000-0008-0000-0000-00003D000000}"/>
                    </a:ext>
                  </a:extLst>
                </xdr:cNvPr>
                <xdr:cNvSpPr/>
              </xdr:nvSpPr>
              <xdr:spPr>
                <a:xfrm>
                  <a:off x="13599028" y="6781855"/>
                  <a:ext cx="151076" cy="127033"/>
                </a:xfrm>
                <a:prstGeom prst="rect">
                  <a:avLst/>
                </a:prstGeom>
                <a:solidFill>
                  <a:srgbClr val="00206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 rot="20095990">
            <a:off x="12159269" y="3676301"/>
            <a:ext cx="1019002" cy="30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n>
                  <a:noFill/>
                </a:ln>
              </a:rPr>
              <a:t>Ideal</a:t>
            </a:r>
            <a:r>
              <a:rPr lang="en-US" sz="1400" b="1" baseline="0">
                <a:ln>
                  <a:noFill/>
                </a:ln>
              </a:rPr>
              <a:t> Point</a:t>
            </a:r>
            <a:endParaRPr lang="en-US" sz="1400" b="1">
              <a:ln>
                <a:noFill/>
              </a:ln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0.78717</cdr:x>
      <cdr:y>0.02384</cdr:y>
    </cdr:from>
    <cdr:to>
      <cdr:x>1</cdr:x>
      <cdr:y>0.91034</cdr:y>
    </cdr:to>
    <cdr:grpSp>
      <cdr:nvGrpSpPr>
        <cdr:cNvPr id="18" name="Group 17">
          <a:extLst xmlns:a="http://schemas.openxmlformats.org/drawingml/2006/main">
            <a:ext uri="{FF2B5EF4-FFF2-40B4-BE49-F238E27FC236}">
              <a16:creationId xmlns:a16="http://schemas.microsoft.com/office/drawing/2014/main" id="{03BB60C1-8891-3D2C-58B5-173DE4569CAE}"/>
            </a:ext>
          </a:extLst>
        </cdr:cNvPr>
        <cdr:cNvGrpSpPr/>
      </cdr:nvGrpSpPr>
      <cdr:grpSpPr>
        <a:xfrm xmlns:a="http://schemas.openxmlformats.org/drawingml/2006/main">
          <a:off x="6822993" y="150097"/>
          <a:ext cx="1844757" cy="5581426"/>
          <a:chOff x="8515776" y="187115"/>
          <a:chExt cx="2302399" cy="6958485"/>
        </a:xfrm>
      </cdr:grpSpPr>
      <cdr:sp macro="" textlink="">
        <cdr:nvSpPr>
          <cdr:cNvPr id="3" name="Oval 2">
            <a:extLst xmlns:a="http://schemas.openxmlformats.org/drawingml/2006/main">
              <a:ext uri="{FF2B5EF4-FFF2-40B4-BE49-F238E27FC236}">
                <a16:creationId xmlns:a16="http://schemas.microsoft.com/office/drawing/2014/main" id="{86B3DE0D-4712-406C-86C1-659C35DC67D9}"/>
              </a:ext>
            </a:extLst>
          </cdr:cNvPr>
          <cdr:cNvSpPr/>
        </cdr:nvSpPr>
        <cdr:spPr>
          <a:xfrm xmlns:a="http://schemas.openxmlformats.org/drawingml/2006/main">
            <a:off x="8930956" y="187115"/>
            <a:ext cx="163770" cy="16342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0000"/>
          </a:solidFill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517DD649-A935-E4F6-9AD0-3C529FEFAEDD}"/>
              </a:ext>
            </a:extLst>
          </cdr:cNvPr>
          <cdr:cNvSpPr txBox="1"/>
        </cdr:nvSpPr>
        <cdr:spPr>
          <a:xfrm xmlns:a="http://schemas.openxmlformats.org/drawingml/2006/main" rot="19780804">
            <a:off x="8515776" y="383024"/>
            <a:ext cx="1322491" cy="309952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400" b="1"/>
              <a:t>Ideal</a:t>
            </a:r>
            <a:r>
              <a:rPr lang="en-US" sz="1400" b="1" baseline="0"/>
              <a:t> Point</a:t>
            </a:r>
            <a:endParaRPr lang="en-US" sz="1400" b="1"/>
          </a:p>
        </cdr:txBody>
      </cdr:sp>
      <cdr:grpSp>
        <cdr:nvGrpSpPr>
          <cdr:cNvPr id="4" name="Group 3">
            <a:extLst xmlns:a="http://schemas.openxmlformats.org/drawingml/2006/main">
              <a:ext uri="{FF2B5EF4-FFF2-40B4-BE49-F238E27FC236}">
                <a16:creationId xmlns:a16="http://schemas.microsoft.com/office/drawing/2014/main" id="{00000000-0008-0000-0100-000015000000}"/>
              </a:ext>
            </a:extLst>
          </cdr:cNvPr>
          <cdr:cNvGrpSpPr/>
        </cdr:nvGrpSpPr>
        <cdr:grpSpPr>
          <a:xfrm xmlns:a="http://schemas.openxmlformats.org/drawingml/2006/main">
            <a:off x="9248855" y="6151276"/>
            <a:ext cx="1559383" cy="994324"/>
            <a:chOff x="-439781" y="-126963"/>
            <a:chExt cx="1748242" cy="1030327"/>
          </a:xfrm>
        </cdr:grpSpPr>
        <cdr:grpSp>
          <cdr:nvGrpSpPr>
            <cdr:cNvPr id="5" name="Group 4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cdr:cNvPr>
            <cdr:cNvGrpSpPr/>
          </cdr:nvGrpSpPr>
          <cdr:grpSpPr>
            <a:xfrm xmlns:a="http://schemas.openxmlformats.org/drawingml/2006/main">
              <a:off x="-439781" y="-126963"/>
              <a:ext cx="1748242" cy="1030327"/>
              <a:chOff x="-415674" y="-121304"/>
              <a:chExt cx="1652412" cy="984400"/>
            </a:xfrm>
          </cdr:grpSpPr>
          <cdr:grpSp>
            <cdr:nvGrpSpPr>
              <cdr:cNvPr id="6" name="Group 5">
                <a:extLst xmlns:a="http://schemas.openxmlformats.org/drawingml/2006/main"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-415674" y="-121304"/>
                <a:ext cx="1652412" cy="981302"/>
                <a:chOff x="-359698" y="-122983"/>
                <a:chExt cx="1429891" cy="994877"/>
              </a:xfrm>
            </cdr:grpSpPr>
            <cdr:grpSp>
              <cdr:nvGrpSpPr>
                <cdr:cNvPr id="8" name="Group 7">
                  <a:extLst xmlns:a="http://schemas.openxmlformats.org/drawingml/2006/main">
                    <a:ext uri="{FF2B5EF4-FFF2-40B4-BE49-F238E27FC236}">
                      <a16:creationId xmlns:a16="http://schemas.microsoft.com/office/drawing/2014/main" id="{00000000-0008-0000-0100-00000C000000}"/>
                    </a:ext>
                  </a:extLst>
                </cdr:cNvPr>
                <cdr:cNvGrpSpPr/>
              </cdr:nvGrpSpPr>
              <cdr:grpSpPr>
                <a:xfrm xmlns:a="http://schemas.openxmlformats.org/drawingml/2006/main">
                  <a:off x="-359698" y="-56846"/>
                  <a:ext cx="242025" cy="928740"/>
                  <a:chOff x="-416901" y="-56635"/>
                  <a:chExt cx="280515" cy="925303"/>
                </a:xfrm>
              </cdr:grpSpPr>
              <cdr:grpSp>
                <cdr:nvGrpSpPr>
                  <cdr:cNvPr id="12" name="Group 11">
                    <a:extLst xmlns:a="http://schemas.openxmlformats.org/drawingml/2006/main">
                      <a:ext uri="{FF2B5EF4-FFF2-40B4-BE49-F238E27FC236}">
                        <a16:creationId xmlns:a16="http://schemas.microsoft.com/office/drawing/2014/main" id="{00000000-0008-0000-0100-000010000000}"/>
                      </a:ext>
                    </a:extLst>
                  </cdr:cNvPr>
                  <cdr:cNvGrpSpPr/>
                </cdr:nvGrpSpPr>
                <cdr:grpSpPr>
                  <a:xfrm xmlns:a="http://schemas.openxmlformats.org/drawingml/2006/main">
                    <a:off x="-411846" y="298467"/>
                    <a:ext cx="275460" cy="570201"/>
                    <a:chOff x="-411845" y="298467"/>
                    <a:chExt cx="275459" cy="570202"/>
                  </a:xfrm>
                </cdr:grpSpPr>
                <cdr:sp macro="" textlink="">
                  <cdr:nvSpPr>
                    <cdr:cNvPr id="14" name="Rectangle 13">
                      <a:extLst xmlns:a="http://schemas.openxmlformats.org/drawingml/2006/main">
                        <a:ext uri="{FF2B5EF4-FFF2-40B4-BE49-F238E27FC236}">
                          <a16:creationId xmlns:a16="http://schemas.microsoft.com/office/drawing/2014/main" id="{00000000-0008-0000-0100-000012000000}"/>
                        </a:ext>
                      </a:extLst>
                    </cdr:cNvPr>
                    <cdr:cNvSpPr/>
                  </cdr:nvSpPr>
                  <cdr:spPr>
                    <a:xfrm xmlns:a="http://schemas.openxmlformats.org/drawingml/2006/main">
                      <a:off x="-410341" y="629343"/>
                      <a:ext cx="273955" cy="239326"/>
                    </a:xfrm>
                    <a:prstGeom xmlns:a="http://schemas.openxmlformats.org/drawingml/2006/main" prst="rect">
                      <a:avLst/>
                    </a:prstGeom>
                    <a:solidFill xmlns:a="http://schemas.openxmlformats.org/drawingml/2006/main">
                      <a:schemeClr val="accent5">
                        <a:lumMod val="50000"/>
                      </a:schemeClr>
                    </a:solidFill>
                    <a:ln xmlns:a="http://schemas.openxmlformats.org/drawingml/2006/main" w="6350"/>
                  </cdr:spPr>
                  <cdr:style>
                    <a:lnRef xmlns:a="http://schemas.openxmlformats.org/drawingml/2006/main" idx="2">
                      <a:schemeClr val="accent1">
                        <a:shade val="50000"/>
                      </a:schemeClr>
                    </a:lnRef>
                    <a:fillRef xmlns:a="http://schemas.openxmlformats.org/drawingml/2006/main" idx="1">
                      <a:schemeClr val="accent1"/>
                    </a:fillRef>
                    <a:effectRef xmlns:a="http://schemas.openxmlformats.org/drawingml/2006/main" idx="0">
                      <a:schemeClr val="accent1"/>
                    </a:effectRef>
                    <a:fontRef xmlns:a="http://schemas.openxmlformats.org/drawingml/2006/main" idx="minor">
                      <a:schemeClr val="lt1"/>
                    </a:fontRef>
                  </cdr:style>
                  <cdr:txBody>
                    <a:bodyPr xmlns:a="http://schemas.openxmlformats.org/drawingml/2006/main" rtlCol="0" anchor="t"/>
                    <a:lstStyle xmlns:a="http://schemas.openxmlformats.org/drawingml/2006/main">
                      <a:lvl1pPr marL="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 xmlns:a="http://schemas.openxmlformats.org/drawingml/2006/main">
                      <a:pPr algn="l"/>
                      <a:endParaRPr lang="en-US" sz="1100"/>
                    </a:p>
                  </cdr:txBody>
                </cdr:sp>
                <cdr:sp macro="" textlink="">
                  <cdr:nvSpPr>
                    <cdr:cNvPr id="15" name="Rectangle 14">
                      <a:extLst xmlns:a="http://schemas.openxmlformats.org/drawingml/2006/main">
                        <a:ext uri="{FF2B5EF4-FFF2-40B4-BE49-F238E27FC236}">
                          <a16:creationId xmlns:a16="http://schemas.microsoft.com/office/drawing/2014/main" id="{00000000-0008-0000-0100-000013000000}"/>
                        </a:ext>
                      </a:extLst>
                    </cdr:cNvPr>
                    <cdr:cNvSpPr/>
                  </cdr:nvSpPr>
                  <cdr:spPr>
                    <a:xfrm xmlns:a="http://schemas.openxmlformats.org/drawingml/2006/main">
                      <a:off x="-411845" y="298467"/>
                      <a:ext cx="264209" cy="222230"/>
                    </a:xfrm>
                    <a:prstGeom xmlns:a="http://schemas.openxmlformats.org/drawingml/2006/main" prst="rect">
                      <a:avLst/>
                    </a:prstGeom>
                    <a:solidFill xmlns:a="http://schemas.openxmlformats.org/drawingml/2006/main">
                      <a:srgbClr val="00B0F0"/>
                    </a:solidFill>
                    <a:ln xmlns:a="http://schemas.openxmlformats.org/drawingml/2006/main" w="6350"/>
                  </cdr:spPr>
                  <cdr:style>
                    <a:lnRef xmlns:a="http://schemas.openxmlformats.org/drawingml/2006/main" idx="2">
                      <a:schemeClr val="accent1">
                        <a:shade val="50000"/>
                      </a:schemeClr>
                    </a:lnRef>
                    <a:fillRef xmlns:a="http://schemas.openxmlformats.org/drawingml/2006/main" idx="1">
                      <a:schemeClr val="accent1"/>
                    </a:fillRef>
                    <a:effectRef xmlns:a="http://schemas.openxmlformats.org/drawingml/2006/main" idx="0">
                      <a:schemeClr val="accent1"/>
                    </a:effectRef>
                    <a:fontRef xmlns:a="http://schemas.openxmlformats.org/drawingml/2006/main" idx="minor">
                      <a:schemeClr val="lt1"/>
                    </a:fontRef>
                  </cdr:style>
                  <cdr:txBody>
                    <a:bodyPr xmlns:a="http://schemas.openxmlformats.org/drawingml/2006/main" rtlCol="0" anchor="t"/>
                    <a:lstStyle xmlns:a="http://schemas.openxmlformats.org/drawingml/2006/main">
                      <a:lvl1pPr marL="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 xmlns:a="http://schemas.openxmlformats.org/drawingml/2006/main">
                      <a:pPr algn="l"/>
                      <a:endParaRPr lang="en-US" sz="1100"/>
                    </a:p>
                  </cdr:txBody>
                </cdr:sp>
              </cdr:grpSp>
              <cdr:sp macro="" textlink="">
                <cdr:nvSpPr>
                  <cdr:cNvPr id="13" name="Rectangle 12">
                    <a:extLst xmlns:a="http://schemas.openxmlformats.org/drawingml/2006/main">
                      <a:ext uri="{FF2B5EF4-FFF2-40B4-BE49-F238E27FC236}">
                        <a16:creationId xmlns:a16="http://schemas.microsoft.com/office/drawing/2014/main" id="{00000000-0008-0000-0100-000011000000}"/>
                      </a:ext>
                    </a:extLst>
                  </cdr:cNvPr>
                  <cdr:cNvSpPr/>
                </cdr:nvSpPr>
                <cdr:spPr>
                  <a:xfrm xmlns:a="http://schemas.openxmlformats.org/drawingml/2006/main">
                    <a:off x="-416901" y="-56635"/>
                    <a:ext cx="247452" cy="231278"/>
                  </a:xfrm>
                  <a:prstGeom xmlns:a="http://schemas.openxmlformats.org/drawingml/2006/main" prst="rect">
                    <a:avLst/>
                  </a:prstGeom>
                  <a:solidFill xmlns:a="http://schemas.openxmlformats.org/drawingml/2006/main">
                    <a:schemeClr val="accent5">
                      <a:lumMod val="60000"/>
                      <a:lumOff val="40000"/>
                    </a:schemeClr>
                  </a:solidFill>
                  <a:ln xmlns:a="http://schemas.openxmlformats.org/drawingml/2006/main" w="6350">
                    <a:solidFill>
                      <a:schemeClr val="tx1"/>
                    </a:solidFill>
                  </a:ln>
                </cdr:spPr>
                <cdr:style>
                  <a:lnRef xmlns:a="http://schemas.openxmlformats.org/drawingml/2006/main" idx="2">
                    <a:schemeClr val="accent1">
                      <a:shade val="50000"/>
                    </a:schemeClr>
                  </a:lnRef>
                  <a:fillRef xmlns:a="http://schemas.openxmlformats.org/drawingml/2006/main" idx="1">
                    <a:schemeClr val="accent1"/>
                  </a:fillRef>
                  <a:effectRef xmlns:a="http://schemas.openxmlformats.org/drawingml/2006/main" idx="0">
                    <a:schemeClr val="accent1"/>
                  </a:effectRef>
                  <a:fontRef xmlns:a="http://schemas.openxmlformats.org/drawingml/2006/main" idx="minor">
                    <a:schemeClr val="lt1"/>
                  </a:fontRef>
                </cdr:style>
                <cdr:txBody>
                  <a:bodyPr xmlns:a="http://schemas.openxmlformats.org/drawingml/2006/main" rtlCol="0" anchor="t"/>
                  <a:lstStyle xmlns:a="http://schemas.openxmlformats.org/drawingml/2006/main">
                    <a:lvl1pPr marL="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 xmlns:a="http://schemas.openxmlformats.org/drawingml/2006/main">
                    <a:pPr algn="l"/>
                    <a:endParaRPr lang="en-US" sz="1100"/>
                  </a:p>
                </cdr:txBody>
              </cdr:sp>
            </cdr:grpSp>
            <cdr:sp macro="" textlink="">
              <cdr:nvSpPr>
                <cdr:cNvPr id="9" name="Rectangle 8">
                  <a:extLst xmlns:a="http://schemas.openxmlformats.org/drawingml/2006/main">
                    <a:ext uri="{FF2B5EF4-FFF2-40B4-BE49-F238E27FC236}">
                      <a16:creationId xmlns:a16="http://schemas.microsoft.com/office/drawing/2014/main" id="{00000000-0008-0000-0100-00000D000000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-155459" y="-122983"/>
                  <a:ext cx="1198297" cy="412100"/>
                </a:xfrm>
                <a:prstGeom xmlns:a="http://schemas.openxmlformats.org/drawingml/2006/main" prst="rect">
                  <a:avLst/>
                </a:prstGeom>
                <a:noFill xmlns:a="http://schemas.openxmlformats.org/drawingml/2006/main"/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1">
                    <a:shade val="50000"/>
                  </a:schemeClr>
                </a:lnRef>
                <a:fillRef xmlns:a="http://schemas.openxmlformats.org/drawingml/2006/main" idx="1">
                  <a:schemeClr val="accent1"/>
                </a:fillRef>
                <a:effectRef xmlns:a="http://schemas.openxmlformats.org/drawingml/2006/main" idx="0">
                  <a:schemeClr val="accent1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 rtlCol="0" anchor="t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l"/>
                  <a:r>
                    <a:rPr lang="en-US" sz="1400" b="1">
                      <a:solidFill>
                        <a:schemeClr val="tx1"/>
                      </a:solidFill>
                    </a:rPr>
                    <a:t>= 0.72</a:t>
                  </a:r>
                  <a:r>
                    <a:rPr lang="en-US" sz="1400" b="1" baseline="0">
                      <a:solidFill>
                        <a:schemeClr val="tx1"/>
                      </a:solidFill>
                    </a:rPr>
                    <a:t> MAF</a:t>
                  </a:r>
                  <a:endParaRPr lang="en-US" sz="1400" b="1">
                    <a:solidFill>
                      <a:schemeClr val="tx1"/>
                    </a:solidFill>
                  </a:endParaRPr>
                </a:p>
              </cdr:txBody>
            </cdr:sp>
            <cdr:sp macro="" textlink="">
              <cdr:nvSpPr>
                <cdr:cNvPr id="10" name="Rectangle 9">
                  <a:extLst xmlns:a="http://schemas.openxmlformats.org/drawingml/2006/main">
                    <a:ext uri="{FF2B5EF4-FFF2-40B4-BE49-F238E27FC236}">
                      <a16:creationId xmlns:a16="http://schemas.microsoft.com/office/drawing/2014/main" id="{00000000-0008-0000-0100-00000E000000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-142429" y="236409"/>
                  <a:ext cx="1212622" cy="300051"/>
                </a:xfrm>
                <a:prstGeom xmlns:a="http://schemas.openxmlformats.org/drawingml/2006/main" prst="rect">
                  <a:avLst/>
                </a:prstGeom>
                <a:noFill xmlns:a="http://schemas.openxmlformats.org/drawingml/2006/main"/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1">
                    <a:shade val="50000"/>
                  </a:schemeClr>
                </a:lnRef>
                <a:fillRef xmlns:a="http://schemas.openxmlformats.org/drawingml/2006/main" idx="1">
                  <a:schemeClr val="accent1"/>
                </a:fillRef>
                <a:effectRef xmlns:a="http://schemas.openxmlformats.org/drawingml/2006/main" idx="0">
                  <a:schemeClr val="accent1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 rtlCol="0" anchor="t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l"/>
                  <a:r>
                    <a:rPr lang="en-US" sz="1400" b="1">
                      <a:solidFill>
                        <a:schemeClr val="tx1"/>
                      </a:solidFill>
                    </a:rPr>
                    <a:t>= 0.83 MAF</a:t>
                  </a:r>
                </a:p>
              </cdr:txBody>
            </cdr:sp>
          </cdr:grpSp>
          <cdr:sp macro="" textlink="">
            <cdr:nvSpPr>
              <cdr:cNvPr id="7" name="Rectangle 6">
                <a:extLst xmlns:a="http://schemas.openxmlformats.org/drawingml/2006/main">
                  <a:ext uri="{FF2B5EF4-FFF2-40B4-BE49-F238E27FC236}">
                    <a16:creationId xmlns:a16="http://schemas.microsoft.com/office/drawing/2014/main" id="{00000000-0008-0000-0100-000005000000}"/>
                  </a:ext>
                </a:extLst>
              </cdr:cNvPr>
              <cdr:cNvSpPr/>
            </cdr:nvSpPr>
            <cdr:spPr>
              <a:xfrm xmlns:a="http://schemas.openxmlformats.org/drawingml/2006/main">
                <a:off x="-143522" y="552017"/>
                <a:ext cx="1365267" cy="311079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1">
                  <a:shade val="50000"/>
                </a:schemeClr>
              </a:lnRef>
              <a:fillRef xmlns:a="http://schemas.openxmlformats.org/drawingml/2006/main" idx="1">
                <a:schemeClr val="accent1"/>
              </a:fillRef>
              <a:effectRef xmlns:a="http://schemas.openxmlformats.org/drawingml/2006/main" idx="0">
                <a:schemeClr val="accent1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 rtlCol="0" anchor="t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l"/>
                <a:r>
                  <a:rPr lang="en-US" sz="1400" b="1">
                    <a:solidFill>
                      <a:schemeClr val="tx1"/>
                    </a:solidFill>
                  </a:rPr>
                  <a:t>= 0.94 MAF</a:t>
                </a:r>
              </a:p>
            </cdr:txBody>
          </cdr:sp>
        </cdr:grpSp>
      </cdr:grpSp>
      <cdr:sp macro="" textlink="">
        <cdr:nvSpPr>
          <cdr:cNvPr id="17" name="Rectangle 16">
            <a:extLst xmlns:a="http://schemas.openxmlformats.org/drawingml/2006/main">
              <a:ext uri="{FF2B5EF4-FFF2-40B4-BE49-F238E27FC236}">
                <a16:creationId xmlns:a16="http://schemas.microsoft.com/office/drawing/2014/main" id="{00000000-0008-0000-0100-000016000000}"/>
              </a:ext>
            </a:extLst>
          </cdr:cNvPr>
          <cdr:cNvSpPr/>
        </cdr:nvSpPr>
        <cdr:spPr>
          <a:xfrm xmlns:a="http://schemas.openxmlformats.org/drawingml/2006/main">
            <a:off x="9085223" y="5438348"/>
            <a:ext cx="1732952" cy="698732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tlCol="0" anchor="t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400" b="1" baseline="0">
                <a:solidFill>
                  <a:schemeClr val="tx1"/>
                </a:solidFill>
              </a:rPr>
              <a:t>Monthly Release Volume</a:t>
            </a:r>
            <a:endParaRPr lang="en-US" sz="1400" b="1">
              <a:solidFill>
                <a:schemeClr val="tx1"/>
              </a:solidFill>
            </a:endParaRPr>
          </a:p>
        </cdr:txBody>
      </cdr:sp>
    </cdr:grp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160512</xdr:colOff>
      <xdr:row>19</xdr:row>
      <xdr:rowOff>145705</xdr:rowOff>
    </xdr:from>
    <xdr:to>
      <xdr:col>22</xdr:col>
      <xdr:colOff>83771</xdr:colOff>
      <xdr:row>53</xdr:row>
      <xdr:rowOff>64740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0D6BA6E-3E3C-B989-2D93-ACA82B82A9DB}"/>
            </a:ext>
          </a:extLst>
        </xdr:cNvPr>
        <xdr:cNvGrpSpPr/>
      </xdr:nvGrpSpPr>
      <xdr:grpSpPr>
        <a:xfrm>
          <a:off x="3196606" y="4098580"/>
          <a:ext cx="10245978" cy="7062785"/>
          <a:chOff x="2684009" y="3975602"/>
          <a:chExt cx="10292567" cy="618458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005AA1F-E627-46C2-B2DA-E32A8E8563FF}"/>
              </a:ext>
            </a:extLst>
          </xdr:cNvPr>
          <xdr:cNvGrpSpPr/>
        </xdr:nvGrpSpPr>
        <xdr:grpSpPr>
          <a:xfrm>
            <a:off x="2684009" y="3975602"/>
            <a:ext cx="10292567" cy="6184580"/>
            <a:chOff x="3888920" y="2905333"/>
            <a:chExt cx="10817169" cy="6208703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3D3DDE80-FE14-4F3C-99E8-00EDE12115EB}"/>
                </a:ext>
              </a:extLst>
            </xdr:cNvPr>
            <xdr:cNvGrpSpPr/>
          </xdr:nvGrpSpPr>
          <xdr:grpSpPr>
            <a:xfrm>
              <a:off x="3888920" y="2905333"/>
              <a:ext cx="10817169" cy="6208703"/>
              <a:chOff x="3824205" y="2321032"/>
              <a:chExt cx="12147669" cy="6201548"/>
            </a:xfrm>
          </xdr:grpSpPr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454DCBE1-C5CD-486C-B81F-F64B8F0876F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824205" y="2321032"/>
              <a:ext cx="12147669" cy="620154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76BA884C-EDDD-4053-8BD3-45AC0EDA0FDE}"/>
                  </a:ext>
                </a:extLst>
              </xdr:cNvPr>
              <xdr:cNvGrpSpPr/>
            </xdr:nvGrpSpPr>
            <xdr:grpSpPr>
              <a:xfrm>
                <a:off x="14009558" y="6192645"/>
                <a:ext cx="1951727" cy="1698096"/>
                <a:chOff x="14263231" y="7798469"/>
                <a:chExt cx="1934566" cy="1633044"/>
              </a:xfrm>
            </xdr:grpSpPr>
            <xdr:sp macro="" textlink="">
              <xdr:nvSpPr>
                <xdr:cNvPr id="10" name="Rectangle 9">
                  <a:extLst>
                    <a:ext uri="{FF2B5EF4-FFF2-40B4-BE49-F238E27FC236}">
                      <a16:creationId xmlns:a16="http://schemas.microsoft.com/office/drawing/2014/main" id="{3EB7FD1F-D427-439C-BD04-1F27EE661B23}"/>
                    </a:ext>
                  </a:extLst>
                </xdr:cNvPr>
                <xdr:cNvSpPr/>
              </xdr:nvSpPr>
              <xdr:spPr>
                <a:xfrm>
                  <a:off x="14263231" y="8107047"/>
                  <a:ext cx="1934566" cy="132446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600" b="1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Red</a:t>
                  </a:r>
                  <a:r>
                    <a:rPr lang="en-US" sz="1600" b="1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= Market pricing ($5/MWh)</a:t>
                  </a:r>
                  <a:endParaRPr lang="en-US" sz="1600">
                    <a:solidFill>
                      <a:schemeClr val="tx1"/>
                    </a:solidFill>
                    <a:effectLst/>
                  </a:endParaRP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lang="en-US" sz="1400" b="1" baseline="0">
                    <a:solidFill>
                      <a:sysClr val="windowText" lastClr="000000"/>
                    </a:solidFill>
                  </a:endParaRP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600" b="1" baseline="0">
                      <a:solidFill>
                        <a:schemeClr val="accent1"/>
                      </a:solidFill>
                    </a:rPr>
                    <a:t>Blue</a:t>
                  </a:r>
                  <a:r>
                    <a:rPr lang="en-US" sz="1600" b="1" baseline="0">
                      <a:solidFill>
                        <a:srgbClr val="00206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</a:t>
                  </a:r>
                  <a:r>
                    <a:rPr lang="en-US" sz="16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 Contract pricing.</a:t>
                  </a:r>
                  <a:r>
                    <a:rPr lang="en-US" sz="16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a</a:t>
                  </a:r>
                </a:p>
              </xdr:txBody>
            </xdr:sp>
            <xdr:sp macro="" textlink="">
              <xdr:nvSpPr>
                <xdr:cNvPr id="11" name="Rectangle 10">
                  <a:extLst>
                    <a:ext uri="{FF2B5EF4-FFF2-40B4-BE49-F238E27FC236}">
                      <a16:creationId xmlns:a16="http://schemas.microsoft.com/office/drawing/2014/main" id="{DA9F1D2D-4CE4-46DF-B7EC-14C80BE42D73}"/>
                    </a:ext>
                  </a:extLst>
                </xdr:cNvPr>
                <xdr:cNvSpPr/>
              </xdr:nvSpPr>
              <xdr:spPr>
                <a:xfrm>
                  <a:off x="14605730" y="7798469"/>
                  <a:ext cx="1098633" cy="323467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800" b="1" u="sng">
                      <a:solidFill>
                        <a:sysClr val="windowText" lastClr="000000"/>
                      </a:solidFill>
                    </a:rPr>
                    <a:t>Models</a:t>
                  </a:r>
                </a:p>
              </xdr:txBody>
            </xdr:sp>
          </xdr:grpSp>
          <xdr:sp macro="" textlink="">
            <xdr:nvSpPr>
              <xdr:cNvPr id="9" name="Rectangle 8">
                <a:extLst>
                  <a:ext uri="{FF2B5EF4-FFF2-40B4-BE49-F238E27FC236}">
                    <a16:creationId xmlns:a16="http://schemas.microsoft.com/office/drawing/2014/main" id="{07BF054F-87FC-477D-99F9-05D088DDD03C}"/>
                  </a:ext>
                </a:extLst>
              </xdr:cNvPr>
              <xdr:cNvSpPr/>
            </xdr:nvSpPr>
            <xdr:spPr>
              <a:xfrm rot="19437274">
                <a:off x="13409231" y="2561296"/>
                <a:ext cx="1438966" cy="272798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r>
                  <a:rPr lang="en-US" sz="1600" b="1">
                    <a:solidFill>
                      <a:schemeClr val="tx1"/>
                    </a:solidFill>
                  </a:rPr>
                  <a:t> Ideal</a:t>
                </a:r>
                <a:r>
                  <a:rPr lang="en-US" sz="1600" b="1" baseline="0">
                    <a:solidFill>
                      <a:schemeClr val="tx1"/>
                    </a:solidFill>
                  </a:rPr>
                  <a:t> </a:t>
                </a:r>
                <a:r>
                  <a:rPr lang="en-US" sz="1600" b="1">
                    <a:solidFill>
                      <a:schemeClr val="tx1"/>
                    </a:solidFill>
                  </a:rPr>
                  <a:t>Point</a:t>
                </a:r>
              </a:p>
            </xdr:txBody>
          </xdr:sp>
        </xdr:grp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F457D8B9-0C05-4358-B561-26DC6ED636CF}"/>
                </a:ext>
              </a:extLst>
            </xdr:cNvPr>
            <xdr:cNvSpPr/>
          </xdr:nvSpPr>
          <xdr:spPr>
            <a:xfrm>
              <a:off x="13354342" y="8194138"/>
              <a:ext cx="281355" cy="25790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4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5E8D3652-A156-4452-A7C4-BBCF5E12E748}"/>
              </a:ext>
            </a:extLst>
          </xdr:cNvPr>
          <xdr:cNvSpPr/>
        </xdr:nvSpPr>
        <xdr:spPr>
          <a:xfrm>
            <a:off x="11150995" y="4125973"/>
            <a:ext cx="153740" cy="151683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14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112888</xdr:colOff>
      <xdr:row>19</xdr:row>
      <xdr:rowOff>38549</xdr:rowOff>
    </xdr:from>
    <xdr:to>
      <xdr:col>22</xdr:col>
      <xdr:colOff>36147</xdr:colOff>
      <xdr:row>52</xdr:row>
      <xdr:rowOff>148084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0D6BA6E-3E3C-B989-2D93-ACA82B82A9DB}"/>
            </a:ext>
          </a:extLst>
        </xdr:cNvPr>
        <xdr:cNvGrpSpPr/>
      </xdr:nvGrpSpPr>
      <xdr:grpSpPr>
        <a:xfrm>
          <a:off x="3148982" y="3991424"/>
          <a:ext cx="10245978" cy="7062785"/>
          <a:chOff x="2636168" y="3881770"/>
          <a:chExt cx="10292567" cy="618458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005AA1F-E627-46C2-B2DA-E32A8E8563FF}"/>
              </a:ext>
            </a:extLst>
          </xdr:cNvPr>
          <xdr:cNvGrpSpPr/>
        </xdr:nvGrpSpPr>
        <xdr:grpSpPr>
          <a:xfrm>
            <a:off x="2636168" y="3881770"/>
            <a:ext cx="10292567" cy="6184580"/>
            <a:chOff x="3838640" y="2811135"/>
            <a:chExt cx="10817169" cy="6208703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3D3DDE80-FE14-4F3C-99E8-00EDE12115EB}"/>
                </a:ext>
              </a:extLst>
            </xdr:cNvPr>
            <xdr:cNvGrpSpPr/>
          </xdr:nvGrpSpPr>
          <xdr:grpSpPr>
            <a:xfrm>
              <a:off x="3838640" y="2811135"/>
              <a:ext cx="10817169" cy="6208703"/>
              <a:chOff x="3767741" y="2226943"/>
              <a:chExt cx="12147669" cy="6201548"/>
            </a:xfrm>
          </xdr:grpSpPr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454DCBE1-C5CD-486C-B81F-F64B8F0876F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767741" y="2226943"/>
              <a:ext cx="12147669" cy="620154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76BA884C-EDDD-4053-8BD3-45AC0EDA0FDE}"/>
                  </a:ext>
                </a:extLst>
              </xdr:cNvPr>
              <xdr:cNvGrpSpPr/>
            </xdr:nvGrpSpPr>
            <xdr:grpSpPr>
              <a:xfrm>
                <a:off x="13981322" y="5920830"/>
                <a:ext cx="1933577" cy="2199909"/>
                <a:chOff x="14235246" y="7537067"/>
                <a:chExt cx="1916576" cy="2115633"/>
              </a:xfrm>
            </xdr:grpSpPr>
            <xdr:sp macro="" textlink="">
              <xdr:nvSpPr>
                <xdr:cNvPr id="10" name="Rectangle 9">
                  <a:extLst>
                    <a:ext uri="{FF2B5EF4-FFF2-40B4-BE49-F238E27FC236}">
                      <a16:creationId xmlns:a16="http://schemas.microsoft.com/office/drawing/2014/main" id="{3EB7FD1F-D427-439C-BD04-1F27EE661B23}"/>
                    </a:ext>
                  </a:extLst>
                </xdr:cNvPr>
                <xdr:cNvSpPr/>
              </xdr:nvSpPr>
              <xdr:spPr>
                <a:xfrm>
                  <a:off x="14235246" y="7822891"/>
                  <a:ext cx="1916576" cy="182980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600" b="1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Red</a:t>
                  </a:r>
                  <a:r>
                    <a:rPr lang="en-US" sz="1600" b="1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= Market pricing ($5/MWh)</a:t>
                  </a:r>
                  <a:endParaRPr lang="en-US" sz="1600">
                    <a:solidFill>
                      <a:schemeClr val="tx1"/>
                    </a:solidFill>
                    <a:effectLst/>
                  </a:endParaRP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lang="en-US" sz="1400" b="1" baseline="0">
                    <a:solidFill>
                      <a:sysClr val="windowText" lastClr="000000"/>
                    </a:solidFill>
                  </a:endParaRPr>
                </a:p>
                <a:p>
                  <a:pPr eaLnBrk="1" fontAlgn="auto" latinLnBrk="0" hangingPunct="1"/>
                  <a:r>
                    <a:rPr lang="en-US" sz="1600" b="1" baseline="0">
                      <a:solidFill>
                        <a:schemeClr val="accent1"/>
                      </a:solidFill>
                    </a:rPr>
                    <a:t>Blue</a:t>
                  </a:r>
                  <a:r>
                    <a:rPr lang="en-US" sz="1600" b="1" baseline="0">
                      <a:solidFill>
                        <a:srgbClr val="00206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</a:t>
                  </a:r>
                  <a:r>
                    <a:rPr lang="en-US" sz="16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 </a:t>
                  </a:r>
                  <a:r>
                    <a:rPr lang="en-US" sz="1600" b="1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Market pricing ($30/MWh)</a:t>
                  </a:r>
                </a:p>
              </xdr:txBody>
            </xdr:sp>
            <xdr:sp macro="" textlink="">
              <xdr:nvSpPr>
                <xdr:cNvPr id="11" name="Rectangle 10">
                  <a:extLst>
                    <a:ext uri="{FF2B5EF4-FFF2-40B4-BE49-F238E27FC236}">
                      <a16:creationId xmlns:a16="http://schemas.microsoft.com/office/drawing/2014/main" id="{DA9F1D2D-4CE4-46DF-B7EC-14C80BE42D73}"/>
                    </a:ext>
                  </a:extLst>
                </xdr:cNvPr>
                <xdr:cNvSpPr/>
              </xdr:nvSpPr>
              <xdr:spPr>
                <a:xfrm>
                  <a:off x="14437827" y="7537067"/>
                  <a:ext cx="1098633" cy="323467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800" b="1" u="sng">
                      <a:solidFill>
                        <a:sysClr val="windowText" lastClr="000000"/>
                      </a:solidFill>
                    </a:rPr>
                    <a:t>Models</a:t>
                  </a:r>
                </a:p>
              </xdr:txBody>
            </xdr:sp>
          </xdr:grpSp>
          <xdr:sp macro="" textlink="">
            <xdr:nvSpPr>
              <xdr:cNvPr id="9" name="Rectangle 8">
                <a:extLst>
                  <a:ext uri="{FF2B5EF4-FFF2-40B4-BE49-F238E27FC236}">
                    <a16:creationId xmlns:a16="http://schemas.microsoft.com/office/drawing/2014/main" id="{07BF054F-87FC-477D-99F9-05D088DDD03C}"/>
                  </a:ext>
                </a:extLst>
              </xdr:cNvPr>
              <xdr:cNvSpPr/>
            </xdr:nvSpPr>
            <xdr:spPr>
              <a:xfrm rot="19437274">
                <a:off x="13296301" y="2414934"/>
                <a:ext cx="1438966" cy="272798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t"/>
              <a:lstStyle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r>
                  <a:rPr lang="en-US" sz="1600" b="1">
                    <a:solidFill>
                      <a:schemeClr val="tx1"/>
                    </a:solidFill>
                  </a:rPr>
                  <a:t> Ideal</a:t>
                </a:r>
                <a:r>
                  <a:rPr lang="en-US" sz="1600" b="1" baseline="0">
                    <a:solidFill>
                      <a:schemeClr val="tx1"/>
                    </a:solidFill>
                  </a:rPr>
                  <a:t> </a:t>
                </a:r>
                <a:r>
                  <a:rPr lang="en-US" sz="1600" b="1">
                    <a:solidFill>
                      <a:schemeClr val="tx1"/>
                    </a:solidFill>
                  </a:rPr>
                  <a:t>Point</a:t>
                </a:r>
              </a:p>
            </xdr:txBody>
          </xdr:sp>
        </xdr:grp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F457D8B9-0C05-4358-B561-26DC6ED636CF}"/>
                </a:ext>
              </a:extLst>
            </xdr:cNvPr>
            <xdr:cNvSpPr/>
          </xdr:nvSpPr>
          <xdr:spPr>
            <a:xfrm>
              <a:off x="13354342" y="8194138"/>
              <a:ext cx="281355" cy="25790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4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5E8D3652-A156-4452-A7C4-BBCF5E12E748}"/>
              </a:ext>
            </a:extLst>
          </xdr:cNvPr>
          <xdr:cNvSpPr/>
        </xdr:nvSpPr>
        <xdr:spPr>
          <a:xfrm>
            <a:off x="11067273" y="4021713"/>
            <a:ext cx="153740" cy="151683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14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neDrive%20-%20Washington%20State%20University%20(email.wsu.edu)\Bugflow_Paper\Contract_vs_Market-Contract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ision_Models_Final_5vs10"/>
      <sheetName val="Comparision_Market_Revision"/>
      <sheetName val="2024Pricing_Figure September"/>
      <sheetName val="2024Pricing_Figure OCTOBER"/>
      <sheetName val="2024Pricing_Figure May"/>
      <sheetName val="2024Pricing_Figure June"/>
      <sheetName val="2024Pricing_Figure April"/>
      <sheetName val="2024Pricing_Figure July"/>
      <sheetName val="2024Pricing_August_5to30 MWh"/>
      <sheetName val="2024Pricing_August_Comp"/>
      <sheetName val="Compare_Final_2024Pricing_3day"/>
      <sheetName val="Compare_Final_2024Pricing_2day"/>
      <sheetName val="Comparision_Final_2014pricing"/>
      <sheetName val="Fstore"/>
      <sheetName val="Market_bugflow"/>
      <sheetName val="$5MWh_Market"/>
      <sheetName val="$10MWh_Market"/>
      <sheetName val="$20MWh_Mark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B6">
            <v>0</v>
          </cell>
          <cell r="C6">
            <v>29.713165513489297</v>
          </cell>
          <cell r="D6">
            <v>34.359425453157094</v>
          </cell>
          <cell r="E6">
            <v>39.021528567310305</v>
          </cell>
          <cell r="I6">
            <v>0</v>
          </cell>
          <cell r="J6">
            <v>29.713165513489297</v>
          </cell>
          <cell r="K6">
            <v>34.359425453157094</v>
          </cell>
          <cell r="L6">
            <v>39.021528567310305</v>
          </cell>
          <cell r="P6">
            <v>0</v>
          </cell>
          <cell r="Q6">
            <v>29.713165513489297</v>
          </cell>
          <cell r="R6">
            <v>34.359425453157094</v>
          </cell>
          <cell r="S6">
            <v>39.021528567310305</v>
          </cell>
        </row>
        <row r="7">
          <cell r="B7">
            <v>1</v>
          </cell>
          <cell r="C7">
            <v>29.1778205154468</v>
          </cell>
          <cell r="D7">
            <v>33.513158276519</v>
          </cell>
          <cell r="E7">
            <v>38.122046045326798</v>
          </cell>
          <cell r="I7">
            <v>1</v>
          </cell>
          <cell r="J7">
            <v>29.286101504073301</v>
          </cell>
          <cell r="K7">
            <v>33.561447574217794</v>
          </cell>
          <cell r="L7">
            <v>38.246871343338803</v>
          </cell>
          <cell r="P7">
            <v>1</v>
          </cell>
          <cell r="Q7">
            <v>29.1778205154468</v>
          </cell>
          <cell r="R7">
            <v>33.513158276519</v>
          </cell>
          <cell r="S7">
            <v>38.122046045326798</v>
          </cell>
        </row>
        <row r="8">
          <cell r="B8">
            <v>2</v>
          </cell>
          <cell r="C8">
            <v>29.1692556927091</v>
          </cell>
          <cell r="D8">
            <v>33.495296665776003</v>
          </cell>
          <cell r="E8">
            <v>38.119840021225201</v>
          </cell>
          <cell r="I8">
            <v>2</v>
          </cell>
          <cell r="J8">
            <v>29.277536681335597</v>
          </cell>
          <cell r="K8">
            <v>33.543585963474797</v>
          </cell>
          <cell r="L8">
            <v>38.2446653192372</v>
          </cell>
          <cell r="P8">
            <v>2</v>
          </cell>
          <cell r="Q8">
            <v>29.1692556927091</v>
          </cell>
          <cell r="R8">
            <v>33.495296665776003</v>
          </cell>
          <cell r="S8">
            <v>38.119840021225201</v>
          </cell>
        </row>
        <row r="9">
          <cell r="B9">
            <v>4</v>
          </cell>
          <cell r="C9">
            <v>29.152936017576298</v>
          </cell>
          <cell r="D9">
            <v>33.462109494661902</v>
          </cell>
          <cell r="E9">
            <v>38.117155412217102</v>
          </cell>
          <cell r="I9">
            <v>4</v>
          </cell>
          <cell r="J9">
            <v>29.261217006202799</v>
          </cell>
          <cell r="K9">
            <v>33.510398792360704</v>
          </cell>
          <cell r="L9">
            <v>38.2419807102292</v>
          </cell>
          <cell r="P9">
            <v>4</v>
          </cell>
          <cell r="Q9">
            <v>29.152936017576298</v>
          </cell>
          <cell r="R9">
            <v>33.462109494661902</v>
          </cell>
          <cell r="S9">
            <v>38.117155412217102</v>
          </cell>
        </row>
        <row r="10">
          <cell r="B10">
            <v>6</v>
          </cell>
          <cell r="C10">
            <v>29.0928046583035</v>
          </cell>
          <cell r="D10">
            <v>33.367934900488997</v>
          </cell>
          <cell r="E10">
            <v>38.031482707645601</v>
          </cell>
          <cell r="I10">
            <v>6</v>
          </cell>
          <cell r="J10">
            <v>29.20108564693</v>
          </cell>
          <cell r="K10">
            <v>33.416224198187798</v>
          </cell>
          <cell r="L10">
            <v>38.1563080056576</v>
          </cell>
          <cell r="P10">
            <v>6</v>
          </cell>
          <cell r="Q10">
            <v>29.0928046583035</v>
          </cell>
          <cell r="R10">
            <v>33.367934900488997</v>
          </cell>
          <cell r="S10">
            <v>38.031482707645601</v>
          </cell>
        </row>
        <row r="11">
          <cell r="B11">
            <v>8</v>
          </cell>
          <cell r="C11">
            <v>29.034515802447597</v>
          </cell>
          <cell r="D11">
            <v>33.265633545813095</v>
          </cell>
          <cell r="E11">
            <v>37.942628745012904</v>
          </cell>
          <cell r="I11">
            <v>8</v>
          </cell>
          <cell r="J11">
            <v>29.142796791074101</v>
          </cell>
          <cell r="K11">
            <v>33.313922843511904</v>
          </cell>
          <cell r="L11">
            <v>38.067454043025002</v>
          </cell>
          <cell r="P11">
            <v>8</v>
          </cell>
          <cell r="Q11">
            <v>29.034515802447597</v>
          </cell>
          <cell r="R11">
            <v>33.265633545813095</v>
          </cell>
          <cell r="S11">
            <v>37.942628745012904</v>
          </cell>
        </row>
        <row r="12">
          <cell r="B12">
            <v>9</v>
          </cell>
          <cell r="C12">
            <v>28.8764098247836</v>
          </cell>
          <cell r="D12">
            <v>33.066664933346701</v>
          </cell>
          <cell r="E12">
            <v>37.774263090484901</v>
          </cell>
          <cell r="I12">
            <v>9</v>
          </cell>
          <cell r="J12">
            <v>28.984690813410101</v>
          </cell>
          <cell r="K12">
            <v>33.114954231045402</v>
          </cell>
          <cell r="L12">
            <v>37.899088388496999</v>
          </cell>
          <cell r="P12">
            <v>9</v>
          </cell>
          <cell r="Q12">
            <v>28.8764098247836</v>
          </cell>
          <cell r="R12">
            <v>33.066664933346701</v>
          </cell>
          <cell r="S12">
            <v>37.774263090484901</v>
          </cell>
        </row>
        <row r="13">
          <cell r="B13">
            <v>10</v>
          </cell>
          <cell r="C13">
            <v>28.7183038471196</v>
          </cell>
          <cell r="D13">
            <v>32.895022708773098</v>
          </cell>
          <cell r="E13">
            <v>37.605897435956905</v>
          </cell>
          <cell r="I13">
            <v>10</v>
          </cell>
          <cell r="J13">
            <v>28.826584835746097</v>
          </cell>
          <cell r="K13">
            <v>32.943312006471899</v>
          </cell>
          <cell r="L13">
            <v>37.730722733969003</v>
          </cell>
          <cell r="P13">
            <v>10</v>
          </cell>
          <cell r="Q13">
            <v>28.7183038471196</v>
          </cell>
          <cell r="R13">
            <v>32.895022708773098</v>
          </cell>
          <cell r="S13">
            <v>37.605897435956905</v>
          </cell>
        </row>
        <row r="14">
          <cell r="B14">
            <v>12</v>
          </cell>
          <cell r="C14">
            <v>28.402091891791599</v>
          </cell>
          <cell r="D14">
            <v>32.551526366885099</v>
          </cell>
          <cell r="E14">
            <v>37.269166126900899</v>
          </cell>
          <cell r="I14">
            <v>12</v>
          </cell>
          <cell r="J14">
            <v>28.5103728804181</v>
          </cell>
          <cell r="K14">
            <v>32.5998156645839</v>
          </cell>
          <cell r="L14">
            <v>37.393991424912898</v>
          </cell>
          <cell r="P14">
            <v>12</v>
          </cell>
          <cell r="Q14">
            <v>28.402091891791599</v>
          </cell>
          <cell r="R14">
            <v>32.551526366885099</v>
          </cell>
          <cell r="S14">
            <v>37.269166126900899</v>
          </cell>
        </row>
        <row r="15">
          <cell r="B15">
            <v>15</v>
          </cell>
          <cell r="C15">
            <v>28.010958089365602</v>
          </cell>
          <cell r="D15">
            <v>32.102303975736199</v>
          </cell>
          <cell r="E15">
            <v>36.896217478834899</v>
          </cell>
          <cell r="I15">
            <v>15</v>
          </cell>
          <cell r="J15">
            <v>28.119239077992102</v>
          </cell>
          <cell r="K15">
            <v>32.150593273435</v>
          </cell>
          <cell r="L15">
            <v>37.021042776846897</v>
          </cell>
          <cell r="P15">
            <v>15</v>
          </cell>
          <cell r="Q15">
            <v>28.010958089365602</v>
          </cell>
          <cell r="R15">
            <v>32.102303975736199</v>
          </cell>
          <cell r="S15">
            <v>36.896217478834899</v>
          </cell>
        </row>
        <row r="16">
          <cell r="B16">
            <v>20</v>
          </cell>
          <cell r="C16">
            <v>27.462149441326801</v>
          </cell>
          <cell r="D16">
            <v>31.477487309516299</v>
          </cell>
          <cell r="E16">
            <v>36.3730976048952</v>
          </cell>
          <cell r="I16">
            <v>20</v>
          </cell>
          <cell r="J16">
            <v>27.570430429953298</v>
          </cell>
          <cell r="K16">
            <v>31.5257766072151</v>
          </cell>
          <cell r="L16">
            <v>36.497922902907298</v>
          </cell>
          <cell r="P16">
            <v>20</v>
          </cell>
          <cell r="Q16">
            <v>27.462149441326801</v>
          </cell>
          <cell r="R16">
            <v>31.477487309516299</v>
          </cell>
          <cell r="S16">
            <v>36.3730976048952</v>
          </cell>
        </row>
        <row r="17">
          <cell r="B17">
            <v>25</v>
          </cell>
          <cell r="C17">
            <v>26.9864966803671</v>
          </cell>
          <cell r="D17">
            <v>30.9563122892765</v>
          </cell>
          <cell r="E17">
            <v>35.928509057854299</v>
          </cell>
          <cell r="I17">
            <v>25</v>
          </cell>
          <cell r="J17">
            <v>27.094777668993601</v>
          </cell>
          <cell r="K17">
            <v>31.004601586975298</v>
          </cell>
          <cell r="L17">
            <v>36.053334355866298</v>
          </cell>
          <cell r="P17">
            <v>25</v>
          </cell>
          <cell r="Q17">
            <v>26.9864966803671</v>
          </cell>
          <cell r="R17">
            <v>30.9563122892765</v>
          </cell>
          <cell r="S17">
            <v>35.928509057854299</v>
          </cell>
        </row>
        <row r="18">
          <cell r="B18">
            <v>31</v>
          </cell>
          <cell r="C18">
            <v>26.476397450500201</v>
          </cell>
          <cell r="D18">
            <v>30.420635870734301</v>
          </cell>
          <cell r="E18">
            <v>35.462995730887705</v>
          </cell>
          <cell r="I18">
            <v>31</v>
          </cell>
          <cell r="K18">
            <v>30.468925168433099</v>
          </cell>
          <cell r="P18">
            <v>31</v>
          </cell>
          <cell r="Q18">
            <v>26.476397450500201</v>
          </cell>
          <cell r="R18">
            <v>30.420635870734301</v>
          </cell>
          <cell r="S18">
            <v>35.462995730887705</v>
          </cell>
        </row>
      </sheetData>
      <sheetData sheetId="9">
        <row r="6">
          <cell r="B6">
            <v>0</v>
          </cell>
          <cell r="C6">
            <v>29.713165513489297</v>
          </cell>
          <cell r="D6">
            <v>34.359425453157094</v>
          </cell>
          <cell r="E6">
            <v>39.021528567310305</v>
          </cell>
          <cell r="I6">
            <v>0</v>
          </cell>
          <cell r="J6">
            <v>29.713165513489297</v>
          </cell>
          <cell r="K6">
            <v>34.359425453157094</v>
          </cell>
          <cell r="L6">
            <v>39.021528567310305</v>
          </cell>
          <cell r="P6">
            <v>0</v>
          </cell>
          <cell r="Q6">
            <v>29.713165513489297</v>
          </cell>
          <cell r="R6">
            <v>34.359425453157094</v>
          </cell>
          <cell r="S6">
            <v>39.021528567310305</v>
          </cell>
        </row>
        <row r="7">
          <cell r="B7">
            <v>1</v>
          </cell>
          <cell r="C7">
            <v>29.1778205154468</v>
          </cell>
          <cell r="D7">
            <v>33.513158276519</v>
          </cell>
          <cell r="E7">
            <v>38.122046045326798</v>
          </cell>
          <cell r="I7">
            <v>1</v>
          </cell>
          <cell r="J7">
            <v>29.7317122863187</v>
          </cell>
          <cell r="K7">
            <v>34.369674059608805</v>
          </cell>
          <cell r="L7">
            <v>39.031777173761895</v>
          </cell>
          <cell r="P7">
            <v>1</v>
          </cell>
          <cell r="Q7">
            <v>29.1778205154468</v>
          </cell>
          <cell r="R7">
            <v>33.513158276519</v>
          </cell>
          <cell r="S7">
            <v>38.122046045326798</v>
          </cell>
        </row>
        <row r="8">
          <cell r="B8">
            <v>2</v>
          </cell>
          <cell r="C8">
            <v>29.1692556927091</v>
          </cell>
          <cell r="D8">
            <v>33.495296665776003</v>
          </cell>
          <cell r="E8">
            <v>38.119840021225201</v>
          </cell>
          <cell r="I8">
            <v>2</v>
          </cell>
          <cell r="J8">
            <v>29.7520526103776</v>
          </cell>
          <cell r="K8">
            <v>34.379922666060402</v>
          </cell>
          <cell r="L8">
            <v>39.0420257802135</v>
          </cell>
          <cell r="P8">
            <v>2</v>
          </cell>
          <cell r="Q8">
            <v>29.1692556927091</v>
          </cell>
          <cell r="R8">
            <v>33.495296665776003</v>
          </cell>
          <cell r="S8">
            <v>38.119840021225201</v>
          </cell>
        </row>
        <row r="9">
          <cell r="B9">
            <v>4</v>
          </cell>
          <cell r="C9">
            <v>29.152936017576298</v>
          </cell>
          <cell r="D9">
            <v>33.462109494661902</v>
          </cell>
          <cell r="E9">
            <v>38.117155412217102</v>
          </cell>
          <cell r="I9">
            <v>4</v>
          </cell>
          <cell r="J9">
            <v>29.798911046064298</v>
          </cell>
          <cell r="K9">
            <v>34.400419878963596</v>
          </cell>
          <cell r="L9">
            <v>39.062522993116701</v>
          </cell>
          <cell r="P9">
            <v>4</v>
          </cell>
          <cell r="Q9">
            <v>29.152936017576298</v>
          </cell>
          <cell r="R9">
            <v>33.462109494661902</v>
          </cell>
          <cell r="S9">
            <v>38.117155412217102</v>
          </cell>
        </row>
        <row r="10">
          <cell r="B10">
            <v>6</v>
          </cell>
          <cell r="C10">
            <v>29.0928046583035</v>
          </cell>
          <cell r="D10">
            <v>33.367934900488997</v>
          </cell>
          <cell r="E10">
            <v>38.031482707645601</v>
          </cell>
          <cell r="I10">
            <v>6</v>
          </cell>
          <cell r="J10">
            <v>29.855653941860698</v>
          </cell>
          <cell r="K10">
            <v>34.420917091866798</v>
          </cell>
          <cell r="L10">
            <v>39.083020206019995</v>
          </cell>
          <cell r="P10">
            <v>6</v>
          </cell>
          <cell r="Q10">
            <v>29.0928046583035</v>
          </cell>
          <cell r="R10">
            <v>33.367934900488997</v>
          </cell>
          <cell r="S10">
            <v>38.031482707645601</v>
          </cell>
        </row>
        <row r="11">
          <cell r="B11">
            <v>8</v>
          </cell>
          <cell r="C11">
            <v>29.034515802447597</v>
          </cell>
          <cell r="D11">
            <v>33.265633545813095</v>
          </cell>
          <cell r="E11">
            <v>37.942628745012904</v>
          </cell>
          <cell r="I11">
            <v>8</v>
          </cell>
          <cell r="J11">
            <v>29.924859852578301</v>
          </cell>
          <cell r="K11">
            <v>34.441414304769999</v>
          </cell>
          <cell r="L11">
            <v>39.103517418923197</v>
          </cell>
          <cell r="P11">
            <v>8</v>
          </cell>
          <cell r="Q11">
            <v>29.034515802447597</v>
          </cell>
          <cell r="R11">
            <v>33.265633545813095</v>
          </cell>
          <cell r="S11">
            <v>37.942628745012904</v>
          </cell>
        </row>
        <row r="12">
          <cell r="B12">
            <v>9</v>
          </cell>
          <cell r="C12">
            <v>28.8764098247836</v>
          </cell>
          <cell r="D12">
            <v>33.066664933346701</v>
          </cell>
          <cell r="E12">
            <v>37.774263090484901</v>
          </cell>
          <cell r="I12">
            <v>9</v>
          </cell>
          <cell r="J12">
            <v>29.914992812578298</v>
          </cell>
          <cell r="K12">
            <v>34.368649518533495</v>
          </cell>
          <cell r="L12">
            <v>39.0307526326866</v>
          </cell>
          <cell r="P12">
            <v>9</v>
          </cell>
          <cell r="Q12">
            <v>28.8764098247836</v>
          </cell>
          <cell r="R12">
            <v>33.066664933346701</v>
          </cell>
          <cell r="S12">
            <v>37.774263090484901</v>
          </cell>
        </row>
        <row r="13">
          <cell r="B13">
            <v>10</v>
          </cell>
          <cell r="C13">
            <v>28.7183038471196</v>
          </cell>
          <cell r="D13">
            <v>32.895022708773098</v>
          </cell>
          <cell r="E13">
            <v>37.605897435956905</v>
          </cell>
          <cell r="I13">
            <v>10</v>
          </cell>
          <cell r="J13">
            <v>29.905125772578298</v>
          </cell>
          <cell r="K13">
            <v>34.295884732296898</v>
          </cell>
          <cell r="L13">
            <v>38.957987846450095</v>
          </cell>
          <cell r="P13">
            <v>10</v>
          </cell>
          <cell r="Q13">
            <v>28.7183038471196</v>
          </cell>
          <cell r="R13">
            <v>32.895022708773098</v>
          </cell>
          <cell r="S13">
            <v>37.605897435956905</v>
          </cell>
        </row>
        <row r="14">
          <cell r="B14">
            <v>12</v>
          </cell>
          <cell r="C14">
            <v>28.402091891791599</v>
          </cell>
          <cell r="D14">
            <v>32.551526366885099</v>
          </cell>
          <cell r="E14">
            <v>37.269166126900899</v>
          </cell>
          <cell r="I14">
            <v>15</v>
          </cell>
          <cell r="J14">
            <v>29.669474944456802</v>
          </cell>
          <cell r="K14">
            <v>33.932060801114098</v>
          </cell>
          <cell r="L14">
            <v>38.594163915267302</v>
          </cell>
          <cell r="P14">
            <v>12</v>
          </cell>
          <cell r="Q14">
            <v>28.402091891791599</v>
          </cell>
          <cell r="R14">
            <v>32.551526366885099</v>
          </cell>
          <cell r="S14">
            <v>37.269166126900899</v>
          </cell>
        </row>
        <row r="15">
          <cell r="B15">
            <v>15</v>
          </cell>
          <cell r="C15">
            <v>28.010958089365602</v>
          </cell>
          <cell r="D15">
            <v>32.102303975736199</v>
          </cell>
          <cell r="E15">
            <v>36.896217478834899</v>
          </cell>
          <cell r="I15">
            <v>20</v>
          </cell>
          <cell r="J15">
            <v>29.305651013273998</v>
          </cell>
          <cell r="K15">
            <v>33.568236869931305</v>
          </cell>
          <cell r="L15">
            <v>38.230339984084502</v>
          </cell>
          <cell r="P15">
            <v>15</v>
          </cell>
          <cell r="Q15">
            <v>28.010958089365602</v>
          </cell>
          <cell r="R15">
            <v>32.102303975736199</v>
          </cell>
          <cell r="S15">
            <v>36.896217478834899</v>
          </cell>
        </row>
        <row r="16">
          <cell r="B16">
            <v>20</v>
          </cell>
          <cell r="C16">
            <v>27.462149441326801</v>
          </cell>
          <cell r="D16">
            <v>31.477487309516299</v>
          </cell>
          <cell r="E16">
            <v>36.3730976048952</v>
          </cell>
          <cell r="I16">
            <v>25</v>
          </cell>
          <cell r="J16">
            <v>28.941827082091201</v>
          </cell>
          <cell r="K16">
            <v>33.204412938748504</v>
          </cell>
          <cell r="L16">
            <v>37.866516052901702</v>
          </cell>
          <cell r="P16">
            <v>20</v>
          </cell>
          <cell r="Q16">
            <v>27.462149441326801</v>
          </cell>
          <cell r="R16">
            <v>31.477487309516299</v>
          </cell>
          <cell r="S16">
            <v>36.3730976048952</v>
          </cell>
        </row>
        <row r="17">
          <cell r="B17">
            <v>25</v>
          </cell>
          <cell r="C17">
            <v>26.9864966803671</v>
          </cell>
          <cell r="D17">
            <v>30.9563122892765</v>
          </cell>
          <cell r="E17">
            <v>35.928509057854299</v>
          </cell>
          <cell r="I17">
            <v>31</v>
          </cell>
          <cell r="J17">
            <v>28.505238364671801</v>
          </cell>
          <cell r="K17">
            <v>32.767824221329199</v>
          </cell>
          <cell r="L17">
            <v>37.429927335482297</v>
          </cell>
          <cell r="P17">
            <v>25</v>
          </cell>
          <cell r="Q17">
            <v>26.9864966803671</v>
          </cell>
          <cell r="R17">
            <v>30.9563122892765</v>
          </cell>
          <cell r="S17">
            <v>35.928509057854299</v>
          </cell>
        </row>
        <row r="18">
          <cell r="B18">
            <v>31</v>
          </cell>
          <cell r="C18">
            <v>26.476397450500201</v>
          </cell>
          <cell r="D18">
            <v>30.420635870734301</v>
          </cell>
          <cell r="E18">
            <v>35.462995730887705</v>
          </cell>
          <cell r="P18">
            <v>31</v>
          </cell>
          <cell r="Q18">
            <v>26.476397450500201</v>
          </cell>
          <cell r="R18">
            <v>30.420635870734301</v>
          </cell>
          <cell r="S18">
            <v>35.462995730887705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4"/>
  <sheetViews>
    <sheetView topLeftCell="A10" zoomScale="70" zoomScaleNormal="70" workbookViewId="0">
      <selection activeCell="AM44" sqref="AM44"/>
    </sheetView>
  </sheetViews>
  <sheetFormatPr defaultRowHeight="15" x14ac:dyDescent="0.25"/>
  <sheetData>
    <row r="1" spans="1:28" ht="15.6" customHeight="1" x14ac:dyDescent="0.25">
      <c r="A1" s="14" t="s">
        <v>0</v>
      </c>
      <c r="B1" s="14"/>
      <c r="C1" s="14"/>
      <c r="D1" s="14"/>
      <c r="E1" s="14"/>
      <c r="F1" s="14"/>
      <c r="G1" s="14"/>
      <c r="H1" s="15" t="s">
        <v>1</v>
      </c>
      <c r="I1" s="15"/>
      <c r="J1" s="15"/>
      <c r="K1" s="15"/>
      <c r="L1" s="15"/>
      <c r="M1" s="15"/>
      <c r="N1" s="15"/>
      <c r="O1" s="16" t="s">
        <v>2</v>
      </c>
      <c r="P1" s="16"/>
      <c r="Q1" s="16"/>
      <c r="R1" s="16"/>
      <c r="S1" s="16"/>
      <c r="T1" s="16"/>
      <c r="U1" s="16"/>
      <c r="V1" s="17" t="s">
        <v>3</v>
      </c>
      <c r="W1" s="17"/>
      <c r="X1" s="17"/>
      <c r="Y1" s="17"/>
      <c r="Z1" s="17"/>
      <c r="AA1" s="17"/>
      <c r="AB1" s="17"/>
    </row>
    <row r="2" spans="1:28" x14ac:dyDescent="0.25">
      <c r="C2" t="s">
        <v>4</v>
      </c>
      <c r="D2" t="s">
        <v>5</v>
      </c>
      <c r="E2" t="s">
        <v>6</v>
      </c>
      <c r="J2" t="s">
        <v>4</v>
      </c>
      <c r="K2" t="s">
        <v>5</v>
      </c>
      <c r="L2" t="s">
        <v>6</v>
      </c>
      <c r="Q2" t="s">
        <v>4</v>
      </c>
      <c r="R2" t="s">
        <v>5</v>
      </c>
      <c r="S2" t="s">
        <v>6</v>
      </c>
      <c r="X2" t="s">
        <v>4</v>
      </c>
      <c r="Y2" t="s">
        <v>5</v>
      </c>
      <c r="Z2" t="s">
        <v>6</v>
      </c>
    </row>
    <row r="3" spans="1:28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V3" t="s">
        <v>7</v>
      </c>
      <c r="W3" t="s">
        <v>8</v>
      </c>
      <c r="X3" t="s">
        <v>9</v>
      </c>
      <c r="Y3" t="s">
        <v>10</v>
      </c>
      <c r="Z3" t="s">
        <v>11</v>
      </c>
    </row>
    <row r="4" spans="1:28" x14ac:dyDescent="0.25">
      <c r="A4" t="s">
        <v>12</v>
      </c>
      <c r="B4">
        <v>0</v>
      </c>
      <c r="C4" s="7">
        <f>$AK19/1000000</f>
        <v>29.713165513489297</v>
      </c>
      <c r="D4" s="7">
        <f>$AK20/1000000</f>
        <v>34.359425453157094</v>
      </c>
      <c r="E4" s="7">
        <f>$AK21/1000000</f>
        <v>39.021528567310305</v>
      </c>
      <c r="H4" t="s">
        <v>12</v>
      </c>
      <c r="I4">
        <v>0</v>
      </c>
      <c r="J4" s="7">
        <f>$AK22/1000000</f>
        <v>29.713165513489297</v>
      </c>
      <c r="K4" s="7">
        <f>$AK23/1000000</f>
        <v>34.359425453157094</v>
      </c>
      <c r="L4" s="7">
        <f>$AK24/1000000</f>
        <v>39.021528567310305</v>
      </c>
      <c r="O4" t="s">
        <v>12</v>
      </c>
      <c r="P4">
        <v>0</v>
      </c>
      <c r="Q4" s="7">
        <f>$AK25/1000000</f>
        <v>29.713165513489297</v>
      </c>
      <c r="R4" s="7">
        <f>$AK26/1000000</f>
        <v>34.359425453157094</v>
      </c>
      <c r="S4" s="7">
        <f>$AK27/1000000</f>
        <v>39.021528567310305</v>
      </c>
      <c r="V4" t="s">
        <v>12</v>
      </c>
      <c r="W4">
        <v>0</v>
      </c>
      <c r="X4" s="7">
        <f>$AK28/1000000</f>
        <v>29.713165513489297</v>
      </c>
      <c r="Y4" s="7">
        <f>$AK29/1000000</f>
        <v>34.359425453157094</v>
      </c>
      <c r="Z4" s="7">
        <f>$AK30/1000000</f>
        <v>39.021528567310305</v>
      </c>
    </row>
    <row r="5" spans="1:28" x14ac:dyDescent="0.25">
      <c r="A5" t="s">
        <v>13</v>
      </c>
      <c r="B5">
        <v>1</v>
      </c>
      <c r="C5" s="7">
        <f>$AL19/1000000</f>
        <v>29.754825530318701</v>
      </c>
      <c r="D5" s="7">
        <f>$AL20/1000000</f>
        <v>34.383036555092602</v>
      </c>
      <c r="E5" s="7">
        <f>$AL21/1000000</f>
        <v>39.045139669245799</v>
      </c>
      <c r="H5" t="s">
        <v>13</v>
      </c>
      <c r="I5">
        <v>1</v>
      </c>
      <c r="J5" s="7">
        <f>$AL22/1000000</f>
        <v>29.743268908318697</v>
      </c>
      <c r="K5" s="7">
        <f>$AL23/1000000</f>
        <v>34.3763553073507</v>
      </c>
      <c r="L5" s="7">
        <f>$AL24/1000000</f>
        <v>39.038458421503798</v>
      </c>
      <c r="O5" t="s">
        <v>13</v>
      </c>
      <c r="P5">
        <v>1</v>
      </c>
      <c r="Q5" s="7">
        <f>$AL25/1000000</f>
        <v>29.7374905973187</v>
      </c>
      <c r="R5" s="7">
        <f>$AL26/1000000</f>
        <v>34.373014683479695</v>
      </c>
      <c r="S5" s="7">
        <f>$AL27/1000000</f>
        <v>39.0351177976329</v>
      </c>
      <c r="V5" t="s">
        <v>13</v>
      </c>
      <c r="W5">
        <v>1</v>
      </c>
      <c r="X5" s="7">
        <f>$AL28/1000000</f>
        <v>29.7317122863187</v>
      </c>
      <c r="Y5" s="7">
        <f>$AL29/1000000</f>
        <v>34.369674059608805</v>
      </c>
      <c r="Z5" s="7">
        <f>$AL30/1000000</f>
        <v>39.031777173761895</v>
      </c>
    </row>
    <row r="6" spans="1:28" x14ac:dyDescent="0.25">
      <c r="A6" t="s">
        <v>14</v>
      </c>
      <c r="B6">
        <v>2</v>
      </c>
      <c r="C6" s="7">
        <f>$AM19/1000000</f>
        <v>29.799358651756997</v>
      </c>
      <c r="D6" s="7">
        <f>$AM20/1000000</f>
        <v>34.406647657028103</v>
      </c>
      <c r="E6" s="7">
        <f>$AM21/1000000</f>
        <v>39.0687507711812</v>
      </c>
      <c r="H6" t="s">
        <v>14</v>
      </c>
      <c r="I6">
        <v>2</v>
      </c>
      <c r="J6" s="7">
        <f>$AM22/1000000</f>
        <v>29.7757056310673</v>
      </c>
      <c r="K6" s="7">
        <f>$AM23/1000000</f>
        <v>34.393285161544199</v>
      </c>
      <c r="L6" s="7">
        <f>$AM24/1000000</f>
        <v>39.055388275697403</v>
      </c>
      <c r="O6" t="s">
        <v>14</v>
      </c>
      <c r="P6">
        <v>2</v>
      </c>
      <c r="Q6" s="7">
        <f>$AM25/1000000</f>
        <v>29.7638791207225</v>
      </c>
      <c r="R6" s="7">
        <f>$AM26/1000000</f>
        <v>34.386603913802304</v>
      </c>
      <c r="S6" s="7">
        <f>$AM27/1000000</f>
        <v>39.048707027955395</v>
      </c>
      <c r="V6" t="s">
        <v>14</v>
      </c>
      <c r="W6">
        <v>2</v>
      </c>
      <c r="X6" s="7">
        <f>$AM28/1000000</f>
        <v>29.7520526103776</v>
      </c>
      <c r="Y6" s="7">
        <f>$AM29/1000000</f>
        <v>34.379922666060402</v>
      </c>
      <c r="Z6" s="7">
        <f>$AM30/1000000</f>
        <v>39.0420257802135</v>
      </c>
    </row>
    <row r="7" spans="1:28" x14ac:dyDescent="0.25">
      <c r="A7" t="s">
        <v>15</v>
      </c>
      <c r="B7">
        <v>4</v>
      </c>
      <c r="C7" s="7">
        <f>$AN19/1000000</f>
        <v>29.898321143842001</v>
      </c>
      <c r="D7" s="7">
        <f>$AN20/1000000</f>
        <v>34.453869860899097</v>
      </c>
      <c r="E7" s="7">
        <f>$AN21/1000000</f>
        <v>39.115972975052202</v>
      </c>
      <c r="H7" t="s">
        <v>15</v>
      </c>
      <c r="I7">
        <v>4</v>
      </c>
      <c r="J7" s="7">
        <f>$AN22/1000000</f>
        <v>29.848616094953101</v>
      </c>
      <c r="K7" s="7">
        <f>$AN23/1000000</f>
        <v>34.427144869931304</v>
      </c>
      <c r="L7" s="7">
        <f>$AN24/1000000</f>
        <v>39.089247984084501</v>
      </c>
      <c r="O7" t="s">
        <v>15</v>
      </c>
      <c r="P7">
        <v>4</v>
      </c>
      <c r="Q7" s="7">
        <f>$AN25/1000000</f>
        <v>29.823763570508699</v>
      </c>
      <c r="R7" s="7">
        <f>$AN26/1000000</f>
        <v>34.4137823744475</v>
      </c>
      <c r="S7" s="7">
        <f>$AN27/1000000</f>
        <v>39.075885488600598</v>
      </c>
      <c r="V7" t="s">
        <v>15</v>
      </c>
      <c r="W7">
        <v>4</v>
      </c>
      <c r="X7" s="7">
        <f>$AN28/1000000</f>
        <v>29.798911046064298</v>
      </c>
      <c r="Y7" s="7">
        <f>$AN29/1000000</f>
        <v>34.400419878963596</v>
      </c>
      <c r="Z7" s="7">
        <f>$AN30/1000000</f>
        <v>39.062522993116701</v>
      </c>
    </row>
    <row r="8" spans="1:28" x14ac:dyDescent="0.25">
      <c r="A8" t="s">
        <v>16</v>
      </c>
      <c r="B8">
        <v>6</v>
      </c>
      <c r="C8" s="7">
        <f>$AO19/1000000</f>
        <v>30.013117634660698</v>
      </c>
      <c r="D8" s="7">
        <f>$AO20/1000000</f>
        <v>34.501092064770106</v>
      </c>
      <c r="E8" s="7">
        <f>$AO21/1000000</f>
        <v>39.163195178923196</v>
      </c>
      <c r="H8" t="s">
        <v>16</v>
      </c>
      <c r="I8">
        <v>6</v>
      </c>
      <c r="J8" s="7">
        <f>$AO22/1000000</f>
        <v>29.934385788260698</v>
      </c>
      <c r="K8" s="7">
        <f>$AO23/1000000</f>
        <v>34.461004578318402</v>
      </c>
      <c r="L8" s="7">
        <f>$AO24/1000000</f>
        <v>39.123107692471599</v>
      </c>
      <c r="O8" t="s">
        <v>16</v>
      </c>
      <c r="P8">
        <v>6</v>
      </c>
      <c r="Q8" s="7">
        <f>$AO25/1000000</f>
        <v>29.8950198650607</v>
      </c>
      <c r="R8" s="7">
        <f>$AO26/1000000</f>
        <v>34.440960835092596</v>
      </c>
      <c r="S8" s="7">
        <f>$AO27/1000000</f>
        <v>39.103063949245801</v>
      </c>
      <c r="V8" t="s">
        <v>16</v>
      </c>
      <c r="W8">
        <v>6</v>
      </c>
      <c r="X8" s="7">
        <f>$AO28/1000000</f>
        <v>29.855653941860698</v>
      </c>
      <c r="Y8" s="7">
        <f>$AO29/1000000</f>
        <v>34.420917091866798</v>
      </c>
      <c r="Z8" s="7">
        <f>$AO30/1000000</f>
        <v>39.083020206019995</v>
      </c>
    </row>
    <row r="9" spans="1:28" x14ac:dyDescent="0.25">
      <c r="A9" t="s">
        <v>17</v>
      </c>
      <c r="B9">
        <v>8</v>
      </c>
      <c r="C9" s="7">
        <f>$AP19/1000000</f>
        <v>30.147878732578299</v>
      </c>
      <c r="D9" s="7">
        <f>$AP20/1000000</f>
        <v>34.548314268641001</v>
      </c>
      <c r="E9" s="7">
        <f>$AP21/1000000</f>
        <v>39.210417382794098</v>
      </c>
      <c r="H9" t="s">
        <v>17</v>
      </c>
      <c r="I9">
        <v>8</v>
      </c>
      <c r="J9" s="7">
        <f>$AP22/1000000</f>
        <v>30.0363692925783</v>
      </c>
      <c r="K9" s="7">
        <f>$AP23/1000000</f>
        <v>34.4948642867055</v>
      </c>
      <c r="L9" s="7">
        <f>$AP24/1000000</f>
        <v>39.156967400858697</v>
      </c>
      <c r="O9" t="s">
        <v>17</v>
      </c>
      <c r="P9">
        <v>8</v>
      </c>
      <c r="Q9" s="7">
        <f>$AP25/1000000</f>
        <v>29.9806145725783</v>
      </c>
      <c r="R9" s="7">
        <f>$AP26/1000000</f>
        <v>34.468139295737799</v>
      </c>
      <c r="S9" s="7">
        <f>$AP27/1000000</f>
        <v>39.130242409890897</v>
      </c>
      <c r="V9" t="s">
        <v>17</v>
      </c>
      <c r="W9">
        <v>8</v>
      </c>
      <c r="X9" s="7">
        <f>$AP28/1000000</f>
        <v>29.924859852578301</v>
      </c>
      <c r="Y9" s="7">
        <f>$AP29/1000000</f>
        <v>34.441414304769999</v>
      </c>
      <c r="Z9" s="7">
        <f>$AP30/1000000</f>
        <v>39.103517418923197</v>
      </c>
    </row>
    <row r="10" spans="1:28" x14ac:dyDescent="0.25">
      <c r="A10" t="s">
        <v>18</v>
      </c>
      <c r="B10">
        <v>9</v>
      </c>
      <c r="C10" s="7">
        <f>$AQ19/1000000</f>
        <v>30.147878732578299</v>
      </c>
      <c r="D10" s="7">
        <f>$AQ20/1000000</f>
        <v>34.470901657888298</v>
      </c>
      <c r="E10" s="7">
        <f>$AQ21/1000000</f>
        <v>39.133004772041502</v>
      </c>
      <c r="H10" t="s">
        <v>18</v>
      </c>
      <c r="I10">
        <v>9</v>
      </c>
      <c r="J10" s="7">
        <f>$AQ22/1000000</f>
        <v>30.031435772578298</v>
      </c>
      <c r="K10" s="7">
        <f>$AQ23/1000000</f>
        <v>34.419775588210904</v>
      </c>
      <c r="L10" s="7">
        <f>$AQ24/1000000</f>
        <v>39.081878702363994</v>
      </c>
      <c r="O10" t="s">
        <v>18</v>
      </c>
      <c r="P10">
        <v>9</v>
      </c>
      <c r="Q10" s="7">
        <f>$AQ25/1000000</f>
        <v>29.973214292578298</v>
      </c>
      <c r="R10" s="7">
        <f>$AQ26/1000000</f>
        <v>34.394212553372199</v>
      </c>
      <c r="S10" s="7">
        <f>$AQ27/1000000</f>
        <v>39.056315667525297</v>
      </c>
      <c r="V10" t="s">
        <v>18</v>
      </c>
      <c r="W10">
        <v>9</v>
      </c>
      <c r="X10" s="7">
        <f>$AQ28/1000000</f>
        <v>29.914992812578298</v>
      </c>
      <c r="Y10" s="7">
        <f>$AQ29/1000000</f>
        <v>34.368649518533495</v>
      </c>
      <c r="Z10" s="7">
        <f>$AQ30/1000000</f>
        <v>39.0307526326866</v>
      </c>
    </row>
    <row r="11" spans="1:28" x14ac:dyDescent="0.25">
      <c r="A11" t="s">
        <v>19</v>
      </c>
      <c r="B11">
        <v>10</v>
      </c>
      <c r="C11" s="7">
        <f>$AR19/1000000</f>
        <v>30.1309031904783</v>
      </c>
      <c r="D11" s="7">
        <f>$AR20/1000000</f>
        <v>34.393489047135596</v>
      </c>
      <c r="E11" s="7">
        <f>$AR21/1000000</f>
        <v>39.0555921612888</v>
      </c>
      <c r="H11" t="s">
        <v>19</v>
      </c>
      <c r="I11">
        <v>10</v>
      </c>
      <c r="J11" s="7">
        <f>$AR22/1000000</f>
        <v>30.0265022525783</v>
      </c>
      <c r="K11" s="7">
        <f>$AR23/1000000</f>
        <v>34.3446868897163</v>
      </c>
      <c r="L11" s="7">
        <f>$AR24/1000000</f>
        <v>39.006790003869398</v>
      </c>
      <c r="O11" t="s">
        <v>19</v>
      </c>
      <c r="P11">
        <v>10</v>
      </c>
      <c r="Q11" s="7">
        <f>$AR25/1000000</f>
        <v>29.965814012578303</v>
      </c>
      <c r="R11" s="7">
        <f>$AR26/1000000</f>
        <v>34.320285811006599</v>
      </c>
      <c r="S11" s="7">
        <f>$AR27/1000000</f>
        <v>38.982388925159697</v>
      </c>
      <c r="V11" t="s">
        <v>19</v>
      </c>
      <c r="W11">
        <v>10</v>
      </c>
      <c r="X11" s="7">
        <f>$AR28/1000000</f>
        <v>29.905125772578298</v>
      </c>
      <c r="Y11" s="7">
        <f>$AR29/1000000</f>
        <v>34.295884732296898</v>
      </c>
      <c r="Z11" s="7">
        <f>$AR30/1000000</f>
        <v>38.957987846450095</v>
      </c>
    </row>
    <row r="12" spans="1:28" x14ac:dyDescent="0.25">
      <c r="A12" t="s">
        <v>20</v>
      </c>
      <c r="B12">
        <v>15</v>
      </c>
      <c r="C12" s="7">
        <f>$AS19/1000000</f>
        <v>29.743840136714901</v>
      </c>
      <c r="D12" s="7">
        <f>$AS20/1000000</f>
        <v>34.006425993372204</v>
      </c>
      <c r="E12" s="7">
        <f>$AS21/1000000</f>
        <v>38.668529107525295</v>
      </c>
      <c r="H12" t="s">
        <v>20</v>
      </c>
      <c r="I12">
        <v>15</v>
      </c>
      <c r="J12" s="7">
        <f>$AS22/1000000</f>
        <v>29.706657540585802</v>
      </c>
      <c r="K12" s="7">
        <f>$AS23/1000000</f>
        <v>33.969243397243204</v>
      </c>
      <c r="L12" s="7">
        <f>$AS24/1000000</f>
        <v>38.631346511396295</v>
      </c>
      <c r="O12" t="s">
        <v>20</v>
      </c>
      <c r="P12">
        <v>15</v>
      </c>
      <c r="Q12" s="7">
        <f>$AS25/1000000</f>
        <v>29.688066242521302</v>
      </c>
      <c r="R12" s="7">
        <f>$AS26/1000000</f>
        <v>33.950652099178598</v>
      </c>
      <c r="S12" s="7">
        <f>$AS27/1000000</f>
        <v>38.612755213331802</v>
      </c>
      <c r="V12" t="s">
        <v>20</v>
      </c>
      <c r="W12">
        <v>15</v>
      </c>
      <c r="X12" s="7">
        <f>$AS28/1000000</f>
        <v>29.669474944456802</v>
      </c>
      <c r="Y12" s="7">
        <f>$AS29/1000000</f>
        <v>33.932060801114098</v>
      </c>
      <c r="Z12" s="7">
        <f>$AS30/1000000</f>
        <v>38.594163915267302</v>
      </c>
    </row>
    <row r="13" spans="1:28" x14ac:dyDescent="0.25">
      <c r="A13" t="s">
        <v>21</v>
      </c>
      <c r="B13">
        <v>20</v>
      </c>
      <c r="C13" s="7">
        <f>$AT19/1000000</f>
        <v>29.3567770829514</v>
      </c>
      <c r="D13" s="7">
        <f>$AT20/1000000</f>
        <v>33.619362939608799</v>
      </c>
      <c r="E13" s="7">
        <f>$AT21/1000000</f>
        <v>38.281466053761896</v>
      </c>
      <c r="H13" t="s">
        <v>21</v>
      </c>
      <c r="I13">
        <v>20</v>
      </c>
      <c r="J13" s="7">
        <f>$AT22/1000000</f>
        <v>29.331214048112702</v>
      </c>
      <c r="K13" s="7">
        <f>$AT23/1000000</f>
        <v>33.593799904770002</v>
      </c>
      <c r="L13" s="7">
        <f>$AT24/1000000</f>
        <v>38.255903018923199</v>
      </c>
      <c r="O13" t="s">
        <v>21</v>
      </c>
      <c r="P13">
        <v>20</v>
      </c>
      <c r="Q13" s="7">
        <f>$AT25/1000000</f>
        <v>29.3184325306934</v>
      </c>
      <c r="R13" s="7">
        <f>$AT26/1000000</f>
        <v>33.581018387350703</v>
      </c>
      <c r="S13" s="7">
        <f>$AT27/1000000</f>
        <v>38.243121501503801</v>
      </c>
      <c r="V13" t="s">
        <v>21</v>
      </c>
      <c r="W13">
        <v>20</v>
      </c>
      <c r="X13" s="7">
        <f>$AT28/1000000</f>
        <v>29.305651013273998</v>
      </c>
      <c r="Y13" s="7">
        <f>$AT29/1000000</f>
        <v>33.568236869931305</v>
      </c>
      <c r="Z13" s="7">
        <f>$AT30/1000000</f>
        <v>38.230339984084502</v>
      </c>
    </row>
    <row r="14" spans="1:28" x14ac:dyDescent="0.25">
      <c r="A14" t="s">
        <v>22</v>
      </c>
      <c r="B14">
        <v>25</v>
      </c>
      <c r="C14" s="7">
        <f>$AU19/1000000</f>
        <v>28.969714029188001</v>
      </c>
      <c r="D14" s="7">
        <f>$AU20/1000000</f>
        <v>33.2322998858453</v>
      </c>
      <c r="E14" s="7">
        <f>$AU21/1000000</f>
        <v>37.894402999998398</v>
      </c>
      <c r="H14" t="s">
        <v>22</v>
      </c>
      <c r="I14">
        <v>25</v>
      </c>
      <c r="J14" s="7">
        <f>$AU22/1000000</f>
        <v>28.955770555639599</v>
      </c>
      <c r="K14" s="7">
        <f>$AU23/1000000</f>
        <v>33.218356412296899</v>
      </c>
      <c r="L14" s="7">
        <f>$AU24/1000000</f>
        <v>37.880459526450096</v>
      </c>
      <c r="O14" t="s">
        <v>22</v>
      </c>
      <c r="P14">
        <v>25</v>
      </c>
      <c r="Q14" s="7">
        <f>$AU25/1000000</f>
        <v>28.948798818865399</v>
      </c>
      <c r="R14" s="7">
        <f>$AU26/1000000</f>
        <v>33.211384675522702</v>
      </c>
      <c r="S14" s="7">
        <f>$AU27/1000000</f>
        <v>37.873487789675899</v>
      </c>
      <c r="V14" t="s">
        <v>22</v>
      </c>
      <c r="W14">
        <v>25</v>
      </c>
      <c r="X14" s="7">
        <f>$AU28/1000000</f>
        <v>28.941827082091201</v>
      </c>
      <c r="Y14" s="7">
        <f>$AU29/1000000</f>
        <v>33.204412938748504</v>
      </c>
      <c r="Z14" s="7">
        <f>$AU30/1000000</f>
        <v>37.866516052901702</v>
      </c>
    </row>
    <row r="15" spans="1:28" x14ac:dyDescent="0.25">
      <c r="A15" t="s">
        <v>23</v>
      </c>
      <c r="B15">
        <v>31</v>
      </c>
      <c r="C15" s="7">
        <f>$AV19/1000000</f>
        <v>28.505238364671801</v>
      </c>
      <c r="D15" s="7">
        <f>$AV20/1000000</f>
        <v>32.767824221329199</v>
      </c>
      <c r="E15" s="7">
        <f>$AV21/1000000</f>
        <v>37.429927335482297</v>
      </c>
      <c r="H15" t="s">
        <v>23</v>
      </c>
      <c r="I15">
        <v>31</v>
      </c>
      <c r="J15" s="7">
        <f>$AV22/1000000</f>
        <v>28.505238364671801</v>
      </c>
      <c r="K15" s="7">
        <f>$AV23/1000000</f>
        <v>32.767824221329199</v>
      </c>
      <c r="L15" s="7">
        <f>$AV24/1000000</f>
        <v>37.429927335482297</v>
      </c>
      <c r="O15" t="s">
        <v>23</v>
      </c>
      <c r="P15">
        <v>31</v>
      </c>
      <c r="Q15" s="7">
        <f>$AV25/1000000</f>
        <v>28.505238364671801</v>
      </c>
      <c r="R15" s="7">
        <f>$AV26/1000000</f>
        <v>32.767824221329199</v>
      </c>
      <c r="S15" s="7">
        <f>$AV27/1000000</f>
        <v>37.429927335482297</v>
      </c>
      <c r="V15" t="s">
        <v>23</v>
      </c>
      <c r="W15">
        <v>31</v>
      </c>
      <c r="X15" s="7">
        <f>$AV28/1000000</f>
        <v>28.505238364671801</v>
      </c>
      <c r="Y15" s="7">
        <f>$AV29/1000000</f>
        <v>32.767824221329199</v>
      </c>
      <c r="Z15" s="7">
        <f>$AV30/1000000</f>
        <v>37.429927335482297</v>
      </c>
    </row>
    <row r="17" spans="35:66" ht="18.75" x14ac:dyDescent="0.3">
      <c r="BA17" s="18" t="s">
        <v>24</v>
      </c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</row>
    <row r="18" spans="35:66" x14ac:dyDescent="0.25">
      <c r="AK18" t="s">
        <v>12</v>
      </c>
      <c r="AL18" t="s">
        <v>13</v>
      </c>
      <c r="AM18" t="s">
        <v>14</v>
      </c>
      <c r="AN18" t="s">
        <v>15</v>
      </c>
      <c r="AO18" t="s">
        <v>16</v>
      </c>
      <c r="AP18" t="s">
        <v>17</v>
      </c>
      <c r="AQ18" t="s">
        <v>18</v>
      </c>
      <c r="AR18" t="s">
        <v>19</v>
      </c>
      <c r="AS18" t="s">
        <v>20</v>
      </c>
      <c r="AT18" t="s">
        <v>21</v>
      </c>
      <c r="AU18" t="s">
        <v>22</v>
      </c>
      <c r="AV18" t="s">
        <v>23</v>
      </c>
      <c r="BA18" s="5"/>
      <c r="BB18" s="5"/>
      <c r="BC18" s="5" t="s">
        <v>12</v>
      </c>
      <c r="BD18" s="5" t="s">
        <v>13</v>
      </c>
      <c r="BE18" s="5" t="s">
        <v>14</v>
      </c>
      <c r="BF18" s="5" t="s">
        <v>15</v>
      </c>
      <c r="BG18" s="5" t="s">
        <v>16</v>
      </c>
      <c r="BH18" s="5" t="s">
        <v>17</v>
      </c>
      <c r="BI18" s="5" t="s">
        <v>18</v>
      </c>
      <c r="BJ18" s="5" t="s">
        <v>19</v>
      </c>
      <c r="BK18" s="5" t="s">
        <v>20</v>
      </c>
      <c r="BL18" s="5" t="s">
        <v>21</v>
      </c>
      <c r="BM18" s="5" t="s">
        <v>22</v>
      </c>
      <c r="BN18" s="5" t="s">
        <v>23</v>
      </c>
    </row>
    <row r="19" spans="35:66" x14ac:dyDescent="0.25">
      <c r="AI19" t="s">
        <v>25</v>
      </c>
      <c r="AJ19" t="s">
        <v>9</v>
      </c>
      <c r="AK19">
        <f>BC19</f>
        <v>29713165.513489299</v>
      </c>
      <c r="AL19">
        <f t="shared" ref="AL19:AV30" si="0">BD19</f>
        <v>29754825.5303187</v>
      </c>
      <c r="AM19">
        <f t="shared" si="0"/>
        <v>29799358.651756998</v>
      </c>
      <c r="AN19">
        <f t="shared" si="0"/>
        <v>29898321.143842001</v>
      </c>
      <c r="AO19">
        <f t="shared" si="0"/>
        <v>30013117.634660698</v>
      </c>
      <c r="AP19">
        <f t="shared" si="0"/>
        <v>30147878.7325783</v>
      </c>
      <c r="AQ19">
        <f t="shared" si="0"/>
        <v>30147878.7325783</v>
      </c>
      <c r="AR19">
        <f t="shared" si="0"/>
        <v>30130903.190478299</v>
      </c>
      <c r="AS19">
        <f t="shared" si="0"/>
        <v>29743840.136714902</v>
      </c>
      <c r="AT19">
        <f t="shared" si="0"/>
        <v>29356777.0829514</v>
      </c>
      <c r="AU19">
        <f t="shared" si="0"/>
        <v>28969714.029188</v>
      </c>
      <c r="AV19">
        <f t="shared" si="0"/>
        <v>28505238.3646718</v>
      </c>
      <c r="BA19" s="5" t="s">
        <v>25</v>
      </c>
      <c r="BB19" s="5" t="s">
        <v>9</v>
      </c>
      <c r="BC19" s="5">
        <v>29713165.513489299</v>
      </c>
      <c r="BD19" s="5">
        <v>29754825.5303187</v>
      </c>
      <c r="BE19" s="5">
        <v>29799358.651756998</v>
      </c>
      <c r="BF19" s="5">
        <v>29898321.143842001</v>
      </c>
      <c r="BG19" s="5">
        <v>30013117.634660698</v>
      </c>
      <c r="BH19" s="5">
        <v>30147878.7325783</v>
      </c>
      <c r="BI19" s="5">
        <v>30147878.7325783</v>
      </c>
      <c r="BJ19" s="5">
        <v>30130903.190478299</v>
      </c>
      <c r="BK19" s="5">
        <v>29743840.136714902</v>
      </c>
      <c r="BL19" s="5">
        <v>29356777.0829514</v>
      </c>
      <c r="BM19" s="5">
        <v>28969714.029188</v>
      </c>
      <c r="BN19" s="5">
        <v>28505238.3646718</v>
      </c>
    </row>
    <row r="20" spans="35:66" x14ac:dyDescent="0.25">
      <c r="AI20" t="s">
        <v>25</v>
      </c>
      <c r="AJ20" t="s">
        <v>10</v>
      </c>
      <c r="AK20">
        <f t="shared" ref="AK20:AK21" si="1">BC20</f>
        <v>34359425.453157097</v>
      </c>
      <c r="AL20">
        <f t="shared" si="0"/>
        <v>34383036.555092603</v>
      </c>
      <c r="AM20">
        <f t="shared" si="0"/>
        <v>34406647.657028101</v>
      </c>
      <c r="AN20">
        <f t="shared" si="0"/>
        <v>34453869.860899098</v>
      </c>
      <c r="AO20">
        <f t="shared" si="0"/>
        <v>34501092.064770103</v>
      </c>
      <c r="AP20">
        <f t="shared" si="0"/>
        <v>34548314.268641002</v>
      </c>
      <c r="AQ20">
        <f t="shared" si="0"/>
        <v>34470901.657888301</v>
      </c>
      <c r="AR20">
        <f t="shared" si="0"/>
        <v>34393489.047135599</v>
      </c>
      <c r="AS20">
        <f t="shared" si="0"/>
        <v>34006425.993372202</v>
      </c>
      <c r="AT20">
        <f t="shared" si="0"/>
        <v>33619362.939608797</v>
      </c>
      <c r="AU20">
        <f t="shared" si="0"/>
        <v>33232299.8858453</v>
      </c>
      <c r="AV20">
        <f t="shared" si="0"/>
        <v>32767824.221329201</v>
      </c>
      <c r="BA20" s="5" t="s">
        <v>25</v>
      </c>
      <c r="BB20" s="5" t="s">
        <v>10</v>
      </c>
      <c r="BC20" s="5">
        <v>34359425.453157097</v>
      </c>
      <c r="BD20" s="5">
        <v>34383036.555092603</v>
      </c>
      <c r="BE20" s="5">
        <v>34406647.657028101</v>
      </c>
      <c r="BF20" s="5">
        <v>34453869.860899098</v>
      </c>
      <c r="BG20" s="5">
        <v>34501092.064770103</v>
      </c>
      <c r="BH20" s="5">
        <v>34548314.268641002</v>
      </c>
      <c r="BI20" s="5">
        <v>34470901.657888301</v>
      </c>
      <c r="BJ20" s="5">
        <v>34393489.047135599</v>
      </c>
      <c r="BK20" s="5">
        <v>34006425.993372202</v>
      </c>
      <c r="BL20" s="5">
        <v>33619362.939608797</v>
      </c>
      <c r="BM20" s="5">
        <v>33232299.8858453</v>
      </c>
      <c r="BN20" s="5">
        <v>32767824.221329201</v>
      </c>
    </row>
    <row r="21" spans="35:66" x14ac:dyDescent="0.25">
      <c r="AI21" t="s">
        <v>25</v>
      </c>
      <c r="AJ21" t="s">
        <v>11</v>
      </c>
      <c r="AK21">
        <f t="shared" si="1"/>
        <v>39021528.567310303</v>
      </c>
      <c r="AL21">
        <f t="shared" si="0"/>
        <v>39045139.669245802</v>
      </c>
      <c r="AM21">
        <f t="shared" si="0"/>
        <v>39068750.771181203</v>
      </c>
      <c r="AN21">
        <f t="shared" si="0"/>
        <v>39115972.9750522</v>
      </c>
      <c r="AO21">
        <f t="shared" si="0"/>
        <v>39163195.178923197</v>
      </c>
      <c r="AP21">
        <f t="shared" si="0"/>
        <v>39210417.382794097</v>
      </c>
      <c r="AQ21">
        <f t="shared" si="0"/>
        <v>39133004.7720415</v>
      </c>
      <c r="AR21">
        <f t="shared" si="0"/>
        <v>39055592.161288798</v>
      </c>
      <c r="AS21">
        <f t="shared" si="0"/>
        <v>38668529.107525297</v>
      </c>
      <c r="AT21">
        <f t="shared" si="0"/>
        <v>38281466.053761899</v>
      </c>
      <c r="AU21">
        <f t="shared" si="0"/>
        <v>37894402.999998398</v>
      </c>
      <c r="AV21">
        <f t="shared" si="0"/>
        <v>37429927.335482299</v>
      </c>
      <c r="BA21" s="5" t="s">
        <v>25</v>
      </c>
      <c r="BB21" s="5" t="s">
        <v>11</v>
      </c>
      <c r="BC21" s="5">
        <v>39021528.567310303</v>
      </c>
      <c r="BD21" s="5">
        <v>39045139.669245802</v>
      </c>
      <c r="BE21" s="5">
        <v>39068750.771181203</v>
      </c>
      <c r="BF21" s="5">
        <v>39115972.9750522</v>
      </c>
      <c r="BG21" s="5">
        <v>39163195.178923197</v>
      </c>
      <c r="BH21" s="5">
        <v>39210417.382794097</v>
      </c>
      <c r="BI21" s="5">
        <v>39133004.7720415</v>
      </c>
      <c r="BJ21" s="5">
        <v>39055592.161288798</v>
      </c>
      <c r="BK21" s="5">
        <v>38668529.107525297</v>
      </c>
      <c r="BL21" s="5">
        <v>38281466.053761899</v>
      </c>
      <c r="BM21" s="5">
        <v>37894402.999998398</v>
      </c>
      <c r="BN21" s="5">
        <v>37429927.335482299</v>
      </c>
    </row>
    <row r="22" spans="35:66" x14ac:dyDescent="0.25">
      <c r="AI22" t="s">
        <v>26</v>
      </c>
      <c r="AJ22" t="s">
        <v>9</v>
      </c>
      <c r="AK22">
        <f>BC22</f>
        <v>29713165.513489299</v>
      </c>
      <c r="AL22">
        <f t="shared" si="0"/>
        <v>29743268.908318698</v>
      </c>
      <c r="AM22">
        <f t="shared" si="0"/>
        <v>29775705.631067298</v>
      </c>
      <c r="AN22">
        <f t="shared" si="0"/>
        <v>29848616.094953101</v>
      </c>
      <c r="AO22">
        <f t="shared" si="0"/>
        <v>29934385.788260698</v>
      </c>
      <c r="AP22">
        <f t="shared" si="0"/>
        <v>30036369.292578299</v>
      </c>
      <c r="AQ22">
        <f t="shared" si="0"/>
        <v>30031435.772578299</v>
      </c>
      <c r="AR22">
        <f t="shared" si="0"/>
        <v>30026502.252578299</v>
      </c>
      <c r="AS22">
        <f t="shared" si="0"/>
        <v>29706657.540585801</v>
      </c>
      <c r="AT22">
        <f t="shared" si="0"/>
        <v>29331214.048112702</v>
      </c>
      <c r="AU22">
        <f t="shared" si="0"/>
        <v>28955770.555639599</v>
      </c>
      <c r="AV22">
        <f t="shared" si="0"/>
        <v>28505238.3646718</v>
      </c>
      <c r="BA22" s="5" t="s">
        <v>26</v>
      </c>
      <c r="BB22" s="5" t="s">
        <v>9</v>
      </c>
      <c r="BC22" s="5">
        <v>29713165.513489299</v>
      </c>
      <c r="BD22" s="5">
        <v>29743268.908318698</v>
      </c>
      <c r="BE22" s="5">
        <v>29775705.631067298</v>
      </c>
      <c r="BF22" s="5">
        <v>29848616.094953101</v>
      </c>
      <c r="BG22" s="5">
        <v>29934385.788260698</v>
      </c>
      <c r="BH22" s="5">
        <v>30036369.292578299</v>
      </c>
      <c r="BI22" s="5">
        <v>30031435.772578299</v>
      </c>
      <c r="BJ22" s="5">
        <v>30026502.252578299</v>
      </c>
      <c r="BK22" s="5">
        <v>29706657.540585801</v>
      </c>
      <c r="BL22" s="5">
        <v>29331214.048112702</v>
      </c>
      <c r="BM22" s="5">
        <v>28955770.555639599</v>
      </c>
      <c r="BN22" s="5">
        <v>28505238.3646718</v>
      </c>
    </row>
    <row r="23" spans="35:66" x14ac:dyDescent="0.25">
      <c r="AI23" t="s">
        <v>26</v>
      </c>
      <c r="AJ23" t="s">
        <v>10</v>
      </c>
      <c r="AK23">
        <f t="shared" ref="AK23:AK24" si="2">BC23</f>
        <v>34359425.453157097</v>
      </c>
      <c r="AL23">
        <f t="shared" si="0"/>
        <v>34376355.307350703</v>
      </c>
      <c r="AM23">
        <f t="shared" si="0"/>
        <v>34393285.161544196</v>
      </c>
      <c r="AN23">
        <f t="shared" si="0"/>
        <v>34427144.869931303</v>
      </c>
      <c r="AO23">
        <f t="shared" si="0"/>
        <v>34461004.578318402</v>
      </c>
      <c r="AP23">
        <f t="shared" si="0"/>
        <v>34494864.286705501</v>
      </c>
      <c r="AQ23">
        <f t="shared" si="0"/>
        <v>34419775.588210903</v>
      </c>
      <c r="AR23">
        <f t="shared" si="0"/>
        <v>34344686.889716297</v>
      </c>
      <c r="AS23">
        <f>BK23</f>
        <v>33969243.397243202</v>
      </c>
      <c r="AT23">
        <f t="shared" si="0"/>
        <v>33593799.904770002</v>
      </c>
      <c r="AU23">
        <f t="shared" si="0"/>
        <v>33218356.412296899</v>
      </c>
      <c r="AV23">
        <f t="shared" si="0"/>
        <v>32767824.221329201</v>
      </c>
      <c r="BA23" s="5" t="s">
        <v>26</v>
      </c>
      <c r="BB23" s="5" t="s">
        <v>10</v>
      </c>
      <c r="BC23" s="5">
        <v>34359425.453157097</v>
      </c>
      <c r="BD23" s="5">
        <v>34376355.307350703</v>
      </c>
      <c r="BE23" s="5">
        <v>34393285.161544196</v>
      </c>
      <c r="BF23" s="5">
        <v>34427144.869931303</v>
      </c>
      <c r="BG23" s="5">
        <v>34461004.578318402</v>
      </c>
      <c r="BH23" s="5">
        <v>34494864.286705501</v>
      </c>
      <c r="BI23" s="5">
        <v>34419775.588210903</v>
      </c>
      <c r="BJ23" s="5">
        <v>34344686.889716297</v>
      </c>
      <c r="BK23" s="5">
        <v>33969243.397243202</v>
      </c>
      <c r="BL23" s="5">
        <v>33593799.904770002</v>
      </c>
      <c r="BM23" s="5">
        <v>33218356.412296899</v>
      </c>
      <c r="BN23" s="5">
        <v>32767824.221329201</v>
      </c>
    </row>
    <row r="24" spans="35:66" x14ac:dyDescent="0.25">
      <c r="AI24" t="s">
        <v>26</v>
      </c>
      <c r="AJ24" t="s">
        <v>11</v>
      </c>
      <c r="AK24">
        <f t="shared" si="2"/>
        <v>39021528.567310303</v>
      </c>
      <c r="AL24">
        <f t="shared" si="0"/>
        <v>39038458.421503797</v>
      </c>
      <c r="AM24">
        <f t="shared" si="0"/>
        <v>39055388.275697403</v>
      </c>
      <c r="AN24">
        <f t="shared" si="0"/>
        <v>39089247.984084502</v>
      </c>
      <c r="AO24">
        <f>BG24</f>
        <v>39123107.692471601</v>
      </c>
      <c r="AP24">
        <f t="shared" si="0"/>
        <v>39156967.4008587</v>
      </c>
      <c r="AQ24">
        <f t="shared" si="0"/>
        <v>39081878.702363998</v>
      </c>
      <c r="AR24">
        <f t="shared" si="0"/>
        <v>39006790.003869399</v>
      </c>
      <c r="AS24">
        <f t="shared" si="0"/>
        <v>38631346.511396296</v>
      </c>
      <c r="AT24">
        <f t="shared" si="0"/>
        <v>38255903.018923201</v>
      </c>
      <c r="AU24">
        <f t="shared" si="0"/>
        <v>37880459.526450098</v>
      </c>
      <c r="AV24">
        <f t="shared" si="0"/>
        <v>37429927.335482299</v>
      </c>
      <c r="BA24" s="5" t="s">
        <v>26</v>
      </c>
      <c r="BB24" s="5" t="s">
        <v>11</v>
      </c>
      <c r="BC24" s="5">
        <v>39021528.567310303</v>
      </c>
      <c r="BD24" s="5">
        <v>39038458.421503797</v>
      </c>
      <c r="BE24" s="5">
        <v>39055388.275697403</v>
      </c>
      <c r="BF24" s="5">
        <v>39089247.984084502</v>
      </c>
      <c r="BG24" s="5">
        <v>39123107.692471601</v>
      </c>
      <c r="BH24" s="5">
        <v>39156967.4008587</v>
      </c>
      <c r="BI24" s="5">
        <v>39081878.702363998</v>
      </c>
      <c r="BJ24" s="5">
        <v>39006790.003869399</v>
      </c>
      <c r="BK24" s="5">
        <v>38631346.511396296</v>
      </c>
      <c r="BL24" s="5">
        <v>38255903.018923201</v>
      </c>
      <c r="BM24" s="5">
        <v>37880459.526450098</v>
      </c>
      <c r="BN24" s="5">
        <v>37429927.335482299</v>
      </c>
    </row>
    <row r="25" spans="35:66" x14ac:dyDescent="0.25">
      <c r="AI25" t="s">
        <v>27</v>
      </c>
      <c r="AJ25" t="s">
        <v>9</v>
      </c>
      <c r="AK25">
        <f>BC25</f>
        <v>29713165.513489299</v>
      </c>
      <c r="AL25">
        <f t="shared" si="0"/>
        <v>29737490.597318701</v>
      </c>
      <c r="AM25">
        <f t="shared" si="0"/>
        <v>29763879.120722499</v>
      </c>
      <c r="AN25">
        <f t="shared" si="0"/>
        <v>29823763.5705087</v>
      </c>
      <c r="AO25">
        <f t="shared" si="0"/>
        <v>29895019.865060698</v>
      </c>
      <c r="AP25">
        <f t="shared" si="0"/>
        <v>29980614.5725783</v>
      </c>
      <c r="AQ25">
        <f t="shared" si="0"/>
        <v>29973214.292578299</v>
      </c>
      <c r="AR25">
        <f t="shared" si="0"/>
        <v>29965814.012578301</v>
      </c>
      <c r="AS25">
        <f t="shared" si="0"/>
        <v>29688066.242521301</v>
      </c>
      <c r="AT25">
        <f t="shared" si="0"/>
        <v>29318432.530693401</v>
      </c>
      <c r="AU25">
        <f t="shared" si="0"/>
        <v>28948798.8188654</v>
      </c>
      <c r="AV25">
        <f t="shared" si="0"/>
        <v>28505238.3646718</v>
      </c>
      <c r="BA25" s="5" t="s">
        <v>27</v>
      </c>
      <c r="BB25" s="5" t="s">
        <v>9</v>
      </c>
      <c r="BC25" s="5">
        <v>29713165.513489299</v>
      </c>
      <c r="BD25" s="5">
        <v>29737490.597318701</v>
      </c>
      <c r="BE25" s="5">
        <v>29763879.120722499</v>
      </c>
      <c r="BF25" s="5">
        <v>29823763.5705087</v>
      </c>
      <c r="BG25" s="5">
        <v>29895019.865060698</v>
      </c>
      <c r="BH25" s="5">
        <v>29980614.5725783</v>
      </c>
      <c r="BI25" s="5">
        <v>29973214.292578299</v>
      </c>
      <c r="BJ25" s="5">
        <v>29965814.012578301</v>
      </c>
      <c r="BK25" s="5">
        <v>29688066.242521301</v>
      </c>
      <c r="BL25" s="5">
        <v>29318432.530693401</v>
      </c>
      <c r="BM25" s="5">
        <v>28948798.8188654</v>
      </c>
      <c r="BN25" s="5">
        <v>28505238.3646718</v>
      </c>
    </row>
    <row r="26" spans="35:66" x14ac:dyDescent="0.25">
      <c r="AI26" t="s">
        <v>27</v>
      </c>
      <c r="AJ26" t="s">
        <v>10</v>
      </c>
      <c r="AK26">
        <f t="shared" ref="AK26:AK27" si="3">BC26</f>
        <v>34359425.453157097</v>
      </c>
      <c r="AL26">
        <f t="shared" si="0"/>
        <v>34373014.683479697</v>
      </c>
      <c r="AM26">
        <f t="shared" si="0"/>
        <v>34386603.913802303</v>
      </c>
      <c r="AN26">
        <f t="shared" si="0"/>
        <v>34413782.374447502</v>
      </c>
      <c r="AO26">
        <f t="shared" si="0"/>
        <v>34440960.835092597</v>
      </c>
      <c r="AP26">
        <f t="shared" si="0"/>
        <v>34468139.295737803</v>
      </c>
      <c r="AQ26">
        <f t="shared" si="0"/>
        <v>34394212.553372197</v>
      </c>
      <c r="AR26">
        <f t="shared" si="0"/>
        <v>34320285.811006598</v>
      </c>
      <c r="AS26">
        <f t="shared" si="0"/>
        <v>33950652.099178597</v>
      </c>
      <c r="AT26">
        <f t="shared" si="0"/>
        <v>33581018.387350701</v>
      </c>
      <c r="AU26">
        <f t="shared" si="0"/>
        <v>33211384.6755227</v>
      </c>
      <c r="AV26">
        <f t="shared" si="0"/>
        <v>32767824.221329201</v>
      </c>
      <c r="BA26" s="5" t="s">
        <v>27</v>
      </c>
      <c r="BB26" s="5" t="s">
        <v>10</v>
      </c>
      <c r="BC26" s="5">
        <v>34359425.453157097</v>
      </c>
      <c r="BD26" s="5">
        <v>34373014.683479697</v>
      </c>
      <c r="BE26" s="5">
        <v>34386603.913802303</v>
      </c>
      <c r="BF26" s="5">
        <v>34413782.374447502</v>
      </c>
      <c r="BG26" s="5">
        <v>34440960.835092597</v>
      </c>
      <c r="BH26" s="5">
        <v>34468139.295737803</v>
      </c>
      <c r="BI26" s="5">
        <v>34394212.553372197</v>
      </c>
      <c r="BJ26" s="5">
        <v>34320285.811006598</v>
      </c>
      <c r="BK26" s="5">
        <v>33950652.099178597</v>
      </c>
      <c r="BL26" s="5">
        <v>33581018.387350701</v>
      </c>
      <c r="BM26" s="5">
        <v>33211384.6755227</v>
      </c>
      <c r="BN26" s="5">
        <v>32767824.221329201</v>
      </c>
    </row>
    <row r="27" spans="35:66" x14ac:dyDescent="0.25">
      <c r="AI27" t="s">
        <v>27</v>
      </c>
      <c r="AJ27" t="s">
        <v>11</v>
      </c>
      <c r="AK27">
        <f t="shared" si="3"/>
        <v>39021528.567310303</v>
      </c>
      <c r="AL27">
        <f t="shared" si="0"/>
        <v>39035117.797632903</v>
      </c>
      <c r="AM27">
        <f t="shared" si="0"/>
        <v>39048707.027955398</v>
      </c>
      <c r="AN27">
        <f t="shared" si="0"/>
        <v>39075885.488600597</v>
      </c>
      <c r="AO27">
        <f t="shared" si="0"/>
        <v>39103063.949245803</v>
      </c>
      <c r="AP27">
        <f t="shared" si="0"/>
        <v>39130242.409890898</v>
      </c>
      <c r="AQ27">
        <f t="shared" si="0"/>
        <v>39056315.667525299</v>
      </c>
      <c r="AR27">
        <f t="shared" si="0"/>
        <v>38982388.9251597</v>
      </c>
      <c r="AS27">
        <f t="shared" si="0"/>
        <v>38612755.213331804</v>
      </c>
      <c r="AT27">
        <f t="shared" si="0"/>
        <v>38243121.501503803</v>
      </c>
      <c r="AU27">
        <f t="shared" si="0"/>
        <v>37873487.789675899</v>
      </c>
      <c r="AV27">
        <f t="shared" si="0"/>
        <v>37429927.335482299</v>
      </c>
      <c r="BA27" s="5" t="s">
        <v>27</v>
      </c>
      <c r="BB27" s="5" t="s">
        <v>11</v>
      </c>
      <c r="BC27" s="5">
        <v>39021528.567310303</v>
      </c>
      <c r="BD27" s="5">
        <v>39035117.797632903</v>
      </c>
      <c r="BE27" s="5">
        <v>39048707.027955398</v>
      </c>
      <c r="BF27" s="5">
        <v>39075885.488600597</v>
      </c>
      <c r="BG27" s="5">
        <v>39103063.949245803</v>
      </c>
      <c r="BH27" s="5">
        <v>39130242.409890898</v>
      </c>
      <c r="BI27" s="5">
        <v>39056315.667525299</v>
      </c>
      <c r="BJ27" s="5">
        <v>38982388.9251597</v>
      </c>
      <c r="BK27" s="5">
        <v>38612755.213331804</v>
      </c>
      <c r="BL27" s="5">
        <v>38243121.501503803</v>
      </c>
      <c r="BM27" s="5">
        <v>37873487.789675899</v>
      </c>
      <c r="BN27" s="5">
        <v>37429927.335482299</v>
      </c>
    </row>
    <row r="28" spans="35:66" x14ac:dyDescent="0.25">
      <c r="AI28" t="s">
        <v>28</v>
      </c>
      <c r="AJ28" t="s">
        <v>9</v>
      </c>
      <c r="AK28">
        <f>BC28</f>
        <v>29713165.513489299</v>
      </c>
      <c r="AL28">
        <f t="shared" si="0"/>
        <v>29731712.286318701</v>
      </c>
      <c r="AM28">
        <f t="shared" si="0"/>
        <v>29752052.610377599</v>
      </c>
      <c r="AN28">
        <f t="shared" si="0"/>
        <v>29798911.046064299</v>
      </c>
      <c r="AO28">
        <f t="shared" si="0"/>
        <v>29855653.941860698</v>
      </c>
      <c r="AP28">
        <f t="shared" si="0"/>
        <v>29924859.852578301</v>
      </c>
      <c r="AQ28">
        <f t="shared" si="0"/>
        <v>29914992.812578298</v>
      </c>
      <c r="AR28">
        <f t="shared" si="0"/>
        <v>29905125.772578299</v>
      </c>
      <c r="AS28">
        <f t="shared" si="0"/>
        <v>29669474.944456801</v>
      </c>
      <c r="AT28">
        <f t="shared" si="0"/>
        <v>29305651.013273999</v>
      </c>
      <c r="AU28">
        <f t="shared" si="0"/>
        <v>28941827.082091201</v>
      </c>
      <c r="AV28">
        <f t="shared" si="0"/>
        <v>28505238.3646718</v>
      </c>
      <c r="BA28" s="5" t="s">
        <v>28</v>
      </c>
      <c r="BB28" s="5" t="s">
        <v>9</v>
      </c>
      <c r="BC28" s="5">
        <v>29713165.513489299</v>
      </c>
      <c r="BD28" s="5">
        <v>29731712.286318701</v>
      </c>
      <c r="BE28" s="5">
        <v>29752052.610377599</v>
      </c>
      <c r="BF28" s="5">
        <v>29798911.046064299</v>
      </c>
      <c r="BG28" s="5">
        <v>29855653.941860698</v>
      </c>
      <c r="BH28" s="5">
        <v>29924859.852578301</v>
      </c>
      <c r="BI28" s="5">
        <v>29914992.812578298</v>
      </c>
      <c r="BJ28" s="5">
        <v>29905125.772578299</v>
      </c>
      <c r="BK28" s="5">
        <v>29669474.944456801</v>
      </c>
      <c r="BL28" s="5">
        <v>29305651.013273999</v>
      </c>
      <c r="BM28" s="5">
        <v>28941827.082091201</v>
      </c>
      <c r="BN28" s="5">
        <v>28505238.3646718</v>
      </c>
    </row>
    <row r="29" spans="35:66" x14ac:dyDescent="0.25">
      <c r="AI29" t="s">
        <v>28</v>
      </c>
      <c r="AJ29" t="s">
        <v>10</v>
      </c>
      <c r="AK29">
        <f t="shared" ref="AK29:AK30" si="4">BC29</f>
        <v>34359425.453157097</v>
      </c>
      <c r="AL29">
        <f t="shared" si="0"/>
        <v>34369674.059608802</v>
      </c>
      <c r="AM29">
        <f t="shared" si="0"/>
        <v>34379922.666060403</v>
      </c>
      <c r="AN29">
        <f t="shared" si="0"/>
        <v>34400419.878963597</v>
      </c>
      <c r="AO29">
        <f t="shared" si="0"/>
        <v>34420917.091866799</v>
      </c>
      <c r="AP29">
        <f t="shared" si="0"/>
        <v>34441414.30477</v>
      </c>
      <c r="AQ29">
        <f t="shared" si="0"/>
        <v>34368649.518533498</v>
      </c>
      <c r="AR29">
        <f t="shared" si="0"/>
        <v>34295884.732296899</v>
      </c>
      <c r="AS29">
        <f t="shared" si="0"/>
        <v>33932060.801114097</v>
      </c>
      <c r="AT29">
        <f t="shared" si="0"/>
        <v>33568236.869931303</v>
      </c>
      <c r="AU29">
        <f t="shared" si="0"/>
        <v>33204412.938748501</v>
      </c>
      <c r="AV29">
        <f t="shared" si="0"/>
        <v>32767824.221329201</v>
      </c>
      <c r="BA29" s="5" t="s">
        <v>28</v>
      </c>
      <c r="BB29" s="5" t="s">
        <v>10</v>
      </c>
      <c r="BC29" s="5">
        <v>34359425.453157097</v>
      </c>
      <c r="BD29" s="5">
        <v>34369674.059608802</v>
      </c>
      <c r="BE29" s="5">
        <v>34379922.666060403</v>
      </c>
      <c r="BF29" s="5">
        <v>34400419.878963597</v>
      </c>
      <c r="BG29" s="5">
        <v>34420917.091866799</v>
      </c>
      <c r="BH29" s="5">
        <v>34441414.30477</v>
      </c>
      <c r="BI29" s="5">
        <v>34368649.518533498</v>
      </c>
      <c r="BJ29" s="5">
        <v>34295884.732296899</v>
      </c>
      <c r="BK29" s="5">
        <v>33932060.801114097</v>
      </c>
      <c r="BL29" s="5">
        <v>33568236.869931303</v>
      </c>
      <c r="BM29" s="5">
        <v>33204412.938748501</v>
      </c>
      <c r="BN29" s="5">
        <v>32767824.221329201</v>
      </c>
    </row>
    <row r="30" spans="35:66" x14ac:dyDescent="0.25">
      <c r="AI30" t="s">
        <v>28</v>
      </c>
      <c r="AJ30" t="s">
        <v>11</v>
      </c>
      <c r="AK30">
        <f t="shared" si="4"/>
        <v>39021528.567310303</v>
      </c>
      <c r="AL30">
        <f t="shared" si="0"/>
        <v>39031777.173761897</v>
      </c>
      <c r="AM30">
        <f t="shared" si="0"/>
        <v>39042025.780213498</v>
      </c>
      <c r="AN30">
        <f t="shared" si="0"/>
        <v>39062522.993116699</v>
      </c>
      <c r="AO30">
        <f t="shared" si="0"/>
        <v>39083020.206019998</v>
      </c>
      <c r="AP30">
        <f t="shared" si="0"/>
        <v>39103517.418923199</v>
      </c>
      <c r="AQ30">
        <f t="shared" si="0"/>
        <v>39030752.6326866</v>
      </c>
      <c r="AR30">
        <f t="shared" si="0"/>
        <v>38957987.846450098</v>
      </c>
      <c r="AS30">
        <f t="shared" si="0"/>
        <v>38594163.915267304</v>
      </c>
      <c r="AT30">
        <f t="shared" si="0"/>
        <v>38230339.984084502</v>
      </c>
      <c r="AU30">
        <f t="shared" si="0"/>
        <v>37866516.0529017</v>
      </c>
      <c r="AV30">
        <f t="shared" si="0"/>
        <v>37429927.335482299</v>
      </c>
      <c r="BA30" s="5" t="s">
        <v>28</v>
      </c>
      <c r="BB30" s="5" t="s">
        <v>11</v>
      </c>
      <c r="BC30" s="5">
        <v>39021528.567310303</v>
      </c>
      <c r="BD30" s="5">
        <v>39031777.173761897</v>
      </c>
      <c r="BE30" s="5">
        <v>39042025.780213498</v>
      </c>
      <c r="BF30" s="5">
        <v>39062522.993116699</v>
      </c>
      <c r="BG30" s="5">
        <v>39083020.206019998</v>
      </c>
      <c r="BH30" s="5">
        <v>39103517.418923199</v>
      </c>
      <c r="BI30" s="5">
        <v>39030752.6326866</v>
      </c>
      <c r="BJ30" s="5">
        <v>38957987.846450098</v>
      </c>
      <c r="BK30" s="5">
        <v>38594163.915267304</v>
      </c>
      <c r="BL30" s="5">
        <v>38230339.984084502</v>
      </c>
      <c r="BM30" s="5">
        <v>37866516.0529017</v>
      </c>
      <c r="BN30" s="5">
        <v>37429927.335482299</v>
      </c>
    </row>
    <row r="38" spans="22:26" x14ac:dyDescent="0.25">
      <c r="V38" t="s">
        <v>29</v>
      </c>
    </row>
    <row r="41" spans="22:26" ht="23.25" x14ac:dyDescent="0.35">
      <c r="Z41" s="1"/>
    </row>
    <row r="57" spans="1:56" ht="18.75" x14ac:dyDescent="0.3">
      <c r="A57" s="19" t="s">
        <v>30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Q57" s="4"/>
    </row>
    <row r="58" spans="1:56" ht="31.5" customHeight="1" x14ac:dyDescent="0.25">
      <c r="A58" s="10" t="s">
        <v>31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 t="s">
        <v>32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 t="s">
        <v>33</v>
      </c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3" t="s">
        <v>34</v>
      </c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</row>
    <row r="59" spans="1:56" x14ac:dyDescent="0.25">
      <c r="A59" s="3" t="s">
        <v>35</v>
      </c>
      <c r="B59" s="3" t="s">
        <v>8</v>
      </c>
      <c r="C59" s="3">
        <v>0</v>
      </c>
      <c r="D59" s="3">
        <v>1</v>
      </c>
      <c r="E59" s="3">
        <v>2</v>
      </c>
      <c r="F59" s="3">
        <v>4</v>
      </c>
      <c r="G59" s="3">
        <v>6</v>
      </c>
      <c r="H59" s="3">
        <v>8</v>
      </c>
      <c r="I59" s="3">
        <v>9</v>
      </c>
      <c r="J59" s="3">
        <v>10</v>
      </c>
      <c r="K59" s="3">
        <v>15</v>
      </c>
      <c r="L59" s="3">
        <v>20</v>
      </c>
      <c r="M59" s="3">
        <v>25</v>
      </c>
      <c r="N59" s="3">
        <v>31</v>
      </c>
      <c r="O59" s="3" t="s">
        <v>35</v>
      </c>
      <c r="P59" s="3" t="s">
        <v>8</v>
      </c>
      <c r="Q59" s="3">
        <v>0</v>
      </c>
      <c r="R59" s="3">
        <v>1</v>
      </c>
      <c r="S59" s="3">
        <v>2</v>
      </c>
      <c r="T59" s="3">
        <v>4</v>
      </c>
      <c r="U59" s="3">
        <v>6</v>
      </c>
      <c r="V59" s="3">
        <v>8</v>
      </c>
      <c r="W59" s="3">
        <v>9</v>
      </c>
      <c r="X59" s="3">
        <v>10</v>
      </c>
      <c r="Y59" s="3">
        <v>15</v>
      </c>
      <c r="Z59" s="3">
        <v>20</v>
      </c>
      <c r="AA59" s="3">
        <v>25</v>
      </c>
      <c r="AB59" s="3">
        <v>31</v>
      </c>
      <c r="AC59" s="3" t="s">
        <v>35</v>
      </c>
      <c r="AD59" s="3" t="s">
        <v>8</v>
      </c>
      <c r="AE59" s="3">
        <v>0</v>
      </c>
      <c r="AF59" s="3">
        <v>1</v>
      </c>
      <c r="AG59" s="3">
        <v>2</v>
      </c>
      <c r="AH59" s="3">
        <v>4</v>
      </c>
      <c r="AI59" s="3">
        <v>6</v>
      </c>
      <c r="AJ59" s="3">
        <v>8</v>
      </c>
      <c r="AK59" s="3">
        <v>9</v>
      </c>
      <c r="AL59" s="3">
        <v>10</v>
      </c>
      <c r="AM59" s="3">
        <v>15</v>
      </c>
      <c r="AN59" s="3">
        <v>20</v>
      </c>
      <c r="AO59" s="3">
        <v>25</v>
      </c>
      <c r="AP59" s="3">
        <v>31</v>
      </c>
      <c r="AQ59" s="3" t="s">
        <v>35</v>
      </c>
      <c r="AR59" s="3" t="s">
        <v>8</v>
      </c>
      <c r="AS59" s="3">
        <v>0</v>
      </c>
      <c r="AT59" s="3">
        <v>1</v>
      </c>
      <c r="AU59" s="3">
        <v>2</v>
      </c>
      <c r="AV59" s="3">
        <v>4</v>
      </c>
      <c r="AW59" s="3">
        <v>6</v>
      </c>
      <c r="AX59" s="3">
        <v>8</v>
      </c>
      <c r="AY59" s="3">
        <v>9</v>
      </c>
      <c r="AZ59" s="3">
        <v>10</v>
      </c>
      <c r="BA59" s="3">
        <v>15</v>
      </c>
      <c r="BB59" s="3">
        <v>20</v>
      </c>
      <c r="BC59" s="3">
        <v>25</v>
      </c>
      <c r="BD59" s="3">
        <v>31</v>
      </c>
    </row>
    <row r="60" spans="1:56" ht="15.75" x14ac:dyDescent="0.25">
      <c r="A60" s="4" t="s">
        <v>4</v>
      </c>
      <c r="B60" t="s">
        <v>9</v>
      </c>
      <c r="D60">
        <f>(AL19-AK19)/(D$59-C$59)</f>
        <v>41660.016829401255</v>
      </c>
      <c r="E60">
        <f t="shared" ref="E60:N62" si="5">(AM19-AL19)/(E$59-D$59)</f>
        <v>44533.121438298374</v>
      </c>
      <c r="F60">
        <f t="shared" si="5"/>
        <v>49481.246042501181</v>
      </c>
      <c r="G60">
        <f t="shared" si="5"/>
        <v>57398.24540934898</v>
      </c>
      <c r="H60">
        <f t="shared" si="5"/>
        <v>67380.548958800733</v>
      </c>
      <c r="I60">
        <f t="shared" si="5"/>
        <v>0</v>
      </c>
      <c r="J60">
        <f t="shared" si="5"/>
        <v>-16975.542100001127</v>
      </c>
      <c r="K60">
        <f t="shared" si="5"/>
        <v>-77412.610752679408</v>
      </c>
      <c r="L60">
        <f t="shared" si="5"/>
        <v>-77412.610752700275</v>
      </c>
      <c r="M60">
        <f t="shared" si="5"/>
        <v>-77412.61075268015</v>
      </c>
      <c r="N60">
        <f t="shared" si="5"/>
        <v>-77412.610752699897</v>
      </c>
      <c r="O60" s="4" t="s">
        <v>4</v>
      </c>
      <c r="P60" t="s">
        <v>9</v>
      </c>
      <c r="R60">
        <f t="shared" ref="R60:AB62" si="6">(AL22-AK22)/(R$59-Q$59)</f>
        <v>30103.394829399884</v>
      </c>
      <c r="S60">
        <f t="shared" si="6"/>
        <v>32436.722748599946</v>
      </c>
      <c r="T60">
        <f t="shared" si="6"/>
        <v>36455.231942901388</v>
      </c>
      <c r="U60">
        <f t="shared" si="6"/>
        <v>42884.846653798595</v>
      </c>
      <c r="V60">
        <f t="shared" si="6"/>
        <v>50991.75215880014</v>
      </c>
      <c r="W60">
        <f t="shared" si="6"/>
        <v>-4933.519999999553</v>
      </c>
      <c r="X60">
        <f t="shared" si="6"/>
        <v>-4933.519999999553</v>
      </c>
      <c r="Y60">
        <f t="shared" si="6"/>
        <v>-63968.942398499697</v>
      </c>
      <c r="Z60">
        <f t="shared" si="6"/>
        <v>-75088.698494619879</v>
      </c>
      <c r="AA60">
        <f t="shared" si="6"/>
        <v>-75088.698494620621</v>
      </c>
      <c r="AB60">
        <f t="shared" si="6"/>
        <v>-75088.698494633034</v>
      </c>
      <c r="AC60" s="4" t="s">
        <v>4</v>
      </c>
      <c r="AD60" t="s">
        <v>9</v>
      </c>
      <c r="AF60">
        <f t="shared" ref="AF60:AP62" si="7">(AL25-AK25)/(AF$59-AE$59)</f>
        <v>24325.083829402924</v>
      </c>
      <c r="AG60">
        <f t="shared" si="7"/>
        <v>26388.523403797299</v>
      </c>
      <c r="AH60">
        <f t="shared" si="7"/>
        <v>29942.22489310056</v>
      </c>
      <c r="AI60">
        <f t="shared" si="7"/>
        <v>35628.147275999188</v>
      </c>
      <c r="AJ60">
        <f t="shared" si="7"/>
        <v>42797.353758800775</v>
      </c>
      <c r="AK60">
        <f t="shared" si="7"/>
        <v>-7400.2800000011921</v>
      </c>
      <c r="AL60">
        <f t="shared" si="7"/>
        <v>-7400.2799999974668</v>
      </c>
      <c r="AM60">
        <f t="shared" si="7"/>
        <v>-55549.554011400047</v>
      </c>
      <c r="AN60">
        <f t="shared" si="7"/>
        <v>-73926.742365580052</v>
      </c>
      <c r="AO60">
        <f t="shared" si="7"/>
        <v>-73926.742365600163</v>
      </c>
      <c r="AP60">
        <f t="shared" si="7"/>
        <v>-73926.742365599916</v>
      </c>
      <c r="AQ60" s="4" t="s">
        <v>4</v>
      </c>
      <c r="AR60" t="s">
        <v>9</v>
      </c>
      <c r="AT60">
        <f t="shared" ref="AT60:AW62" si="8">(AL28-AK28)/(AT$59-AS$59)</f>
        <v>18546.772829402238</v>
      </c>
      <c r="AU60">
        <f t="shared" si="8"/>
        <v>20340.324058897793</v>
      </c>
      <c r="AV60">
        <f t="shared" si="8"/>
        <v>23429.217843350023</v>
      </c>
      <c r="AW60">
        <f t="shared" si="8"/>
        <v>28371.447898199782</v>
      </c>
      <c r="AX60">
        <f t="shared" ref="AX60:BD62" si="9">(AP28-AO28)/(AX$59-AW$59)</f>
        <v>34602.95535880141</v>
      </c>
      <c r="AY60">
        <f t="shared" si="9"/>
        <v>-9867.0400000028312</v>
      </c>
      <c r="AZ60">
        <f t="shared" si="9"/>
        <v>-9867.0399999991059</v>
      </c>
      <c r="BA60">
        <f t="shared" si="9"/>
        <v>-47130.165624299647</v>
      </c>
      <c r="BB60">
        <f t="shared" si="9"/>
        <v>-72764.786236560351</v>
      </c>
      <c r="BC60">
        <f t="shared" si="9"/>
        <v>-72764.786236559594</v>
      </c>
      <c r="BD60">
        <f t="shared" si="9"/>
        <v>-72764.786236566797</v>
      </c>
    </row>
    <row r="61" spans="1:56" ht="15.75" x14ac:dyDescent="0.25">
      <c r="A61" s="4" t="s">
        <v>5</v>
      </c>
      <c r="B61" t="s">
        <v>10</v>
      </c>
      <c r="D61">
        <f t="shared" ref="D61:D62" si="10">(AL20-AK20)/(D$59-C$59)</f>
        <v>23611.101935505867</v>
      </c>
      <c r="E61">
        <f t="shared" si="5"/>
        <v>23611.101935498416</v>
      </c>
      <c r="F61">
        <f t="shared" si="5"/>
        <v>23611.101935498416</v>
      </c>
      <c r="G61">
        <f t="shared" si="5"/>
        <v>23611.101935502142</v>
      </c>
      <c r="H61">
        <f t="shared" si="5"/>
        <v>23611.101935449988</v>
      </c>
      <c r="I61">
        <f t="shared" si="5"/>
        <v>-77412.610752701759</v>
      </c>
      <c r="J61">
        <f t="shared" si="5"/>
        <v>-77412.610752701759</v>
      </c>
      <c r="K61">
        <f t="shared" si="5"/>
        <v>-77412.610752679408</v>
      </c>
      <c r="L61">
        <f t="shared" si="5"/>
        <v>-77412.610752680892</v>
      </c>
      <c r="M61">
        <f t="shared" si="5"/>
        <v>-77412.610752699518</v>
      </c>
      <c r="N61">
        <f t="shared" si="5"/>
        <v>-77412.610752683133</v>
      </c>
      <c r="O61" s="4" t="s">
        <v>5</v>
      </c>
      <c r="P61" t="s">
        <v>10</v>
      </c>
      <c r="R61">
        <f t="shared" si="6"/>
        <v>16929.854193605483</v>
      </c>
      <c r="S61">
        <f t="shared" si="6"/>
        <v>16929.854193493724</v>
      </c>
      <c r="T61">
        <f t="shared" si="6"/>
        <v>16929.854193553329</v>
      </c>
      <c r="U61">
        <f t="shared" si="6"/>
        <v>16929.854193549603</v>
      </c>
      <c r="V61">
        <f t="shared" si="6"/>
        <v>16929.854193549603</v>
      </c>
      <c r="W61">
        <f t="shared" si="6"/>
        <v>-75088.698494598269</v>
      </c>
      <c r="X61">
        <f t="shared" si="6"/>
        <v>-75088.69849460572</v>
      </c>
      <c r="Y61">
        <f t="shared" si="6"/>
        <v>-75088.698494619137</v>
      </c>
      <c r="Z61">
        <f t="shared" si="6"/>
        <v>-75088.69849463999</v>
      </c>
      <c r="AA61">
        <f t="shared" si="6"/>
        <v>-75088.698494620621</v>
      </c>
      <c r="AB61">
        <f t="shared" si="6"/>
        <v>-75088.69849461627</v>
      </c>
      <c r="AC61" s="4" t="s">
        <v>5</v>
      </c>
      <c r="AD61" t="s">
        <v>10</v>
      </c>
      <c r="AF61">
        <f t="shared" si="7"/>
        <v>13589.230322599411</v>
      </c>
      <c r="AG61">
        <f t="shared" si="7"/>
        <v>13589.230322606862</v>
      </c>
      <c r="AH61">
        <f t="shared" si="7"/>
        <v>13589.230322599411</v>
      </c>
      <c r="AI61">
        <f t="shared" si="7"/>
        <v>13589.230322547257</v>
      </c>
      <c r="AJ61">
        <f t="shared" si="7"/>
        <v>13589.230322603136</v>
      </c>
      <c r="AK61">
        <f t="shared" si="7"/>
        <v>-73926.742365606129</v>
      </c>
      <c r="AL61">
        <f t="shared" si="7"/>
        <v>-73926.742365598679</v>
      </c>
      <c r="AM61">
        <f t="shared" si="7"/>
        <v>-73926.742365600163</v>
      </c>
      <c r="AN61">
        <f t="shared" si="7"/>
        <v>-73926.74236557931</v>
      </c>
      <c r="AO61">
        <f t="shared" si="7"/>
        <v>-73926.742365600163</v>
      </c>
      <c r="AP61">
        <f t="shared" si="7"/>
        <v>-73926.742365583152</v>
      </c>
      <c r="AQ61" s="4" t="s">
        <v>5</v>
      </c>
      <c r="AR61" t="s">
        <v>10</v>
      </c>
      <c r="AT61">
        <f t="shared" si="8"/>
        <v>10248.606451705098</v>
      </c>
      <c r="AU61">
        <f t="shared" si="8"/>
        <v>10248.60645160079</v>
      </c>
      <c r="AV61">
        <f t="shared" si="8"/>
        <v>10248.606451597065</v>
      </c>
      <c r="AW61">
        <f t="shared" si="8"/>
        <v>10248.60645160079</v>
      </c>
      <c r="AX61">
        <f t="shared" si="9"/>
        <v>10248.60645160079</v>
      </c>
      <c r="AY61">
        <f t="shared" si="9"/>
        <v>-72764.78623650223</v>
      </c>
      <c r="AZ61">
        <f t="shared" si="9"/>
        <v>-72764.786236599088</v>
      </c>
      <c r="BA61">
        <f t="shared" si="9"/>
        <v>-72764.786236560351</v>
      </c>
      <c r="BB61">
        <f t="shared" si="9"/>
        <v>-72764.786236558852</v>
      </c>
      <c r="BC61">
        <f t="shared" si="9"/>
        <v>-72764.786236560351</v>
      </c>
      <c r="BD61">
        <f t="shared" si="9"/>
        <v>-72764.786236550033</v>
      </c>
    </row>
    <row r="62" spans="1:56" ht="15.75" x14ac:dyDescent="0.25">
      <c r="A62" s="4" t="s">
        <v>6</v>
      </c>
      <c r="B62" t="s">
        <v>11</v>
      </c>
      <c r="D62">
        <f t="shared" si="10"/>
        <v>23611.101935498416</v>
      </c>
      <c r="E62">
        <f t="shared" si="5"/>
        <v>23611.101935401559</v>
      </c>
      <c r="F62">
        <f t="shared" si="5"/>
        <v>23611.101935498416</v>
      </c>
      <c r="G62">
        <f t="shared" si="5"/>
        <v>23611.101935498416</v>
      </c>
      <c r="H62">
        <f t="shared" si="5"/>
        <v>23611.101935449988</v>
      </c>
      <c r="I62">
        <f t="shared" si="5"/>
        <v>-77412.610752597451</v>
      </c>
      <c r="J62">
        <f t="shared" si="5"/>
        <v>-77412.610752701759</v>
      </c>
      <c r="K62">
        <f t="shared" si="5"/>
        <v>-77412.610752700275</v>
      </c>
      <c r="L62">
        <f t="shared" si="5"/>
        <v>-77412.610752679408</v>
      </c>
      <c r="M62">
        <f t="shared" si="5"/>
        <v>-77412.610752700275</v>
      </c>
      <c r="N62">
        <f t="shared" si="5"/>
        <v>-77412.610752683133</v>
      </c>
      <c r="O62" s="4" t="s">
        <v>6</v>
      </c>
      <c r="P62" t="s">
        <v>11</v>
      </c>
      <c r="R62">
        <f t="shared" si="6"/>
        <v>16929.854193493724</v>
      </c>
      <c r="S62">
        <f t="shared" si="6"/>
        <v>16929.854193605483</v>
      </c>
      <c r="T62">
        <f t="shared" si="6"/>
        <v>16929.854193549603</v>
      </c>
      <c r="U62">
        <f t="shared" si="6"/>
        <v>16929.854193549603</v>
      </c>
      <c r="V62">
        <f t="shared" si="6"/>
        <v>16929.854193549603</v>
      </c>
      <c r="W62">
        <f t="shared" si="6"/>
        <v>-75088.698494702578</v>
      </c>
      <c r="X62">
        <f t="shared" si="6"/>
        <v>-75088.698494598269</v>
      </c>
      <c r="Y62">
        <f t="shared" si="6"/>
        <v>-75088.698494620621</v>
      </c>
      <c r="Z62">
        <f t="shared" si="6"/>
        <v>-75088.698494619137</v>
      </c>
      <c r="AA62">
        <f t="shared" si="6"/>
        <v>-75088.698494620621</v>
      </c>
      <c r="AB62">
        <f t="shared" si="6"/>
        <v>-75088.698494633034</v>
      </c>
      <c r="AC62" s="4" t="s">
        <v>6</v>
      </c>
      <c r="AD62" t="s">
        <v>11</v>
      </c>
      <c r="AF62">
        <f t="shared" si="7"/>
        <v>13589.230322599411</v>
      </c>
      <c r="AG62">
        <f t="shared" si="7"/>
        <v>13589.230322495103</v>
      </c>
      <c r="AH62">
        <f t="shared" si="7"/>
        <v>13589.230322599411</v>
      </c>
      <c r="AI62">
        <f t="shared" si="7"/>
        <v>13589.230322603136</v>
      </c>
      <c r="AJ62">
        <f t="shared" si="7"/>
        <v>13589.230322547257</v>
      </c>
      <c r="AK62">
        <f t="shared" si="7"/>
        <v>-73926.742365598679</v>
      </c>
      <c r="AL62">
        <f t="shared" si="7"/>
        <v>-73926.742365598679</v>
      </c>
      <c r="AM62">
        <f t="shared" si="7"/>
        <v>-73926.74236557931</v>
      </c>
      <c r="AN62">
        <f t="shared" si="7"/>
        <v>-73926.742365600163</v>
      </c>
      <c r="AO62">
        <f t="shared" si="7"/>
        <v>-73926.742365580794</v>
      </c>
      <c r="AP62">
        <f t="shared" si="7"/>
        <v>-73926.742365599916</v>
      </c>
      <c r="AQ62" s="4" t="s">
        <v>6</v>
      </c>
      <c r="AR62" t="s">
        <v>11</v>
      </c>
      <c r="AT62">
        <f t="shared" si="8"/>
        <v>10248.606451593339</v>
      </c>
      <c r="AU62">
        <f t="shared" si="8"/>
        <v>10248.60645160079</v>
      </c>
      <c r="AV62">
        <f t="shared" si="8"/>
        <v>10248.60645160079</v>
      </c>
      <c r="AW62">
        <f t="shared" si="8"/>
        <v>10248.606451649219</v>
      </c>
      <c r="AX62">
        <f t="shared" si="9"/>
        <v>10248.60645160079</v>
      </c>
      <c r="AY62">
        <f t="shared" si="9"/>
        <v>-72764.786236599088</v>
      </c>
      <c r="AZ62">
        <f t="shared" si="9"/>
        <v>-72764.78623650223</v>
      </c>
      <c r="BA62">
        <f t="shared" si="9"/>
        <v>-72764.786236558852</v>
      </c>
      <c r="BB62">
        <f t="shared" si="9"/>
        <v>-72764.786236560351</v>
      </c>
      <c r="BC62">
        <f t="shared" si="9"/>
        <v>-72764.786236560351</v>
      </c>
      <c r="BD62">
        <f t="shared" si="9"/>
        <v>-72764.786236566797</v>
      </c>
    </row>
    <row r="63" spans="1:56" ht="15.75" x14ac:dyDescent="0.25">
      <c r="A63" s="4"/>
      <c r="O63" s="4"/>
      <c r="AC63" s="4"/>
    </row>
    <row r="64" spans="1:56" ht="15.75" x14ac:dyDescent="0.25">
      <c r="A64" s="4"/>
      <c r="O64" s="4"/>
      <c r="AC64" s="4"/>
    </row>
  </sheetData>
  <mergeCells count="10">
    <mergeCell ref="A58:N58"/>
    <mergeCell ref="O58:AB58"/>
    <mergeCell ref="AC58:AP58"/>
    <mergeCell ref="AQ58:BD58"/>
    <mergeCell ref="A1:G1"/>
    <mergeCell ref="H1:N1"/>
    <mergeCell ref="O1:U1"/>
    <mergeCell ref="V1:AB1"/>
    <mergeCell ref="BA17:BN17"/>
    <mergeCell ref="A57:AB5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zoomScale="80" zoomScaleNormal="80" workbookViewId="0">
      <selection activeCell="M29" sqref="M29"/>
    </sheetView>
  </sheetViews>
  <sheetFormatPr defaultRowHeight="15" x14ac:dyDescent="0.25"/>
  <cols>
    <col min="3" max="3" width="13.140625" customWidth="1"/>
    <col min="18" max="18" width="15.7109375" customWidth="1"/>
    <col min="46" max="46" width="11" bestFit="1" customWidth="1"/>
  </cols>
  <sheetData>
    <row r="1" spans="1:19" ht="15.75" x14ac:dyDescent="0.25">
      <c r="A1" s="21" t="s">
        <v>41</v>
      </c>
      <c r="B1" s="21"/>
      <c r="C1" s="21"/>
      <c r="D1" s="21"/>
      <c r="F1" s="20" t="s">
        <v>40</v>
      </c>
      <c r="G1" s="20"/>
      <c r="H1" s="20"/>
      <c r="I1" s="20"/>
      <c r="J1" s="20"/>
    </row>
    <row r="2" spans="1:19" x14ac:dyDescent="0.25">
      <c r="A2" s="21"/>
      <c r="B2" s="21"/>
      <c r="C2" s="21"/>
      <c r="D2" s="21"/>
      <c r="H2" t="s">
        <v>4</v>
      </c>
      <c r="I2" t="s">
        <v>5</v>
      </c>
      <c r="J2" t="s">
        <v>6</v>
      </c>
    </row>
    <row r="3" spans="1:19" x14ac:dyDescent="0.25">
      <c r="A3" s="6" t="s">
        <v>38</v>
      </c>
      <c r="B3" s="9" t="s">
        <v>36</v>
      </c>
      <c r="C3" s="9" t="s">
        <v>39</v>
      </c>
      <c r="D3" s="9" t="s">
        <v>37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9" x14ac:dyDescent="0.25">
      <c r="A4" s="6" t="s">
        <v>28</v>
      </c>
      <c r="B4" s="9" t="s">
        <v>9</v>
      </c>
      <c r="C4" s="9" t="s">
        <v>12</v>
      </c>
      <c r="D4" s="6">
        <v>29713165.51348931</v>
      </c>
      <c r="F4" t="s">
        <v>12</v>
      </c>
      <c r="G4">
        <v>0</v>
      </c>
      <c r="H4">
        <f>D4/1000000</f>
        <v>29.713165513489308</v>
      </c>
      <c r="I4">
        <f>D16/1000000</f>
        <v>34.359425453157151</v>
      </c>
      <c r="J4">
        <f>D28/1000000</f>
        <v>39.021528567310284</v>
      </c>
      <c r="S4" s="8"/>
    </row>
    <row r="5" spans="1:19" x14ac:dyDescent="0.25">
      <c r="A5" s="6" t="s">
        <v>28</v>
      </c>
      <c r="B5" s="9" t="s">
        <v>9</v>
      </c>
      <c r="C5" s="9" t="s">
        <v>13</v>
      </c>
      <c r="D5" s="6">
        <v>29731712.286318678</v>
      </c>
      <c r="F5" t="s">
        <v>13</v>
      </c>
      <c r="G5">
        <v>1</v>
      </c>
      <c r="H5">
        <f t="shared" ref="H5:H15" si="0">D5/1000000</f>
        <v>29.731712286318679</v>
      </c>
      <c r="I5">
        <f t="shared" ref="I5:I15" si="1">D17/1000000</f>
        <v>34.369674059608755</v>
      </c>
      <c r="J5">
        <f t="shared" ref="J5:J14" si="2">D29/1000000</f>
        <v>39.031777173761888</v>
      </c>
      <c r="S5" s="8"/>
    </row>
    <row r="6" spans="1:19" x14ac:dyDescent="0.25">
      <c r="A6" s="6" t="s">
        <v>28</v>
      </c>
      <c r="B6" s="9" t="s">
        <v>9</v>
      </c>
      <c r="C6" s="9" t="s">
        <v>14</v>
      </c>
      <c r="D6" s="6">
        <v>29752052.610377643</v>
      </c>
      <c r="F6" t="s">
        <v>14</v>
      </c>
      <c r="G6">
        <v>2</v>
      </c>
      <c r="H6">
        <f t="shared" si="0"/>
        <v>29.752052610377643</v>
      </c>
      <c r="I6">
        <f t="shared" si="1"/>
        <v>34.379922666060367</v>
      </c>
      <c r="J6">
        <f t="shared" si="2"/>
        <v>39.0420257802135</v>
      </c>
      <c r="S6" s="8"/>
    </row>
    <row r="7" spans="1:19" x14ac:dyDescent="0.25">
      <c r="A7" s="6" t="s">
        <v>28</v>
      </c>
      <c r="B7" s="9" t="s">
        <v>9</v>
      </c>
      <c r="C7" s="9" t="s">
        <v>15</v>
      </c>
      <c r="D7" s="6">
        <v>29798911.046064258</v>
      </c>
      <c r="F7" t="s">
        <v>15</v>
      </c>
      <c r="G7">
        <v>4</v>
      </c>
      <c r="H7">
        <f t="shared" si="0"/>
        <v>29.798911046064259</v>
      </c>
      <c r="I7">
        <f t="shared" si="1"/>
        <v>34.400419878963596</v>
      </c>
      <c r="J7">
        <f t="shared" si="2"/>
        <v>39.06252299311673</v>
      </c>
      <c r="S7" s="8"/>
    </row>
    <row r="8" spans="1:19" x14ac:dyDescent="0.25">
      <c r="A8" s="6" t="s">
        <v>28</v>
      </c>
      <c r="B8" s="9" t="s">
        <v>9</v>
      </c>
      <c r="C8" s="9" t="s">
        <v>16</v>
      </c>
      <c r="D8" s="6">
        <v>29855653.941860721</v>
      </c>
      <c r="F8" t="s">
        <v>16</v>
      </c>
      <c r="G8">
        <v>6</v>
      </c>
      <c r="H8">
        <f t="shared" si="0"/>
        <v>29.855653941860719</v>
      </c>
      <c r="I8">
        <f t="shared" si="1"/>
        <v>34.420917091866819</v>
      </c>
      <c r="J8">
        <f t="shared" si="2"/>
        <v>39.083020206019953</v>
      </c>
      <c r="S8" s="8"/>
    </row>
    <row r="9" spans="1:19" x14ac:dyDescent="0.25">
      <c r="A9" s="6" t="s">
        <v>28</v>
      </c>
      <c r="B9" s="9" t="s">
        <v>9</v>
      </c>
      <c r="C9" s="9" t="s">
        <v>17</v>
      </c>
      <c r="D9" s="6">
        <v>29924859.852578308</v>
      </c>
      <c r="F9" t="s">
        <v>17</v>
      </c>
      <c r="G9">
        <v>8</v>
      </c>
      <c r="H9">
        <f t="shared" si="0"/>
        <v>29.924859852578308</v>
      </c>
      <c r="I9">
        <f t="shared" si="1"/>
        <v>34.441414304770042</v>
      </c>
      <c r="J9">
        <f t="shared" si="2"/>
        <v>39.103517418923175</v>
      </c>
      <c r="S9" s="8"/>
    </row>
    <row r="10" spans="1:19" x14ac:dyDescent="0.25">
      <c r="A10" s="6" t="s">
        <v>28</v>
      </c>
      <c r="B10" s="9" t="s">
        <v>9</v>
      </c>
      <c r="C10" s="9" t="s">
        <v>18</v>
      </c>
      <c r="D10" s="6">
        <v>29914992.812578313</v>
      </c>
      <c r="F10" t="s">
        <v>18</v>
      </c>
      <c r="G10">
        <v>9</v>
      </c>
      <c r="H10">
        <f t="shared" si="0"/>
        <v>29.914992812578312</v>
      </c>
      <c r="I10">
        <f t="shared" si="1"/>
        <v>34.368649518533495</v>
      </c>
      <c r="J10">
        <f t="shared" si="2"/>
        <v>39.030752632686628</v>
      </c>
      <c r="S10" s="8"/>
    </row>
    <row r="11" spans="1:19" x14ac:dyDescent="0.25">
      <c r="A11" s="6" t="s">
        <v>28</v>
      </c>
      <c r="B11" s="9" t="s">
        <v>9</v>
      </c>
      <c r="C11" s="9" t="s">
        <v>19</v>
      </c>
      <c r="D11" s="6">
        <v>29905125.772578306</v>
      </c>
      <c r="F11" t="s">
        <v>19</v>
      </c>
      <c r="G11">
        <v>10</v>
      </c>
      <c r="H11">
        <f t="shared" si="0"/>
        <v>29.905125772578305</v>
      </c>
      <c r="I11">
        <f t="shared" si="1"/>
        <v>34.295884732296926</v>
      </c>
      <c r="J11">
        <f t="shared" si="2"/>
        <v>38.957987846450067</v>
      </c>
      <c r="S11" s="8"/>
    </row>
    <row r="12" spans="1:19" x14ac:dyDescent="0.25">
      <c r="A12" s="6" t="s">
        <v>28</v>
      </c>
      <c r="B12" s="9" t="s">
        <v>9</v>
      </c>
      <c r="C12" s="9" t="s">
        <v>20</v>
      </c>
      <c r="D12" s="6">
        <v>29669474.944456793</v>
      </c>
      <c r="F12" t="s">
        <v>20</v>
      </c>
      <c r="G12">
        <v>15</v>
      </c>
      <c r="H12">
        <f t="shared" si="0"/>
        <v>29.669474944456795</v>
      </c>
      <c r="I12">
        <f t="shared" si="1"/>
        <v>33.932060801114126</v>
      </c>
      <c r="J12">
        <f t="shared" si="2"/>
        <v>38.594163915267259</v>
      </c>
      <c r="S12" s="8"/>
    </row>
    <row r="13" spans="1:19" x14ac:dyDescent="0.25">
      <c r="A13" s="6" t="s">
        <v>28</v>
      </c>
      <c r="B13" s="9" t="s">
        <v>9</v>
      </c>
      <c r="C13" s="9" t="s">
        <v>21</v>
      </c>
      <c r="D13" s="6">
        <v>29305651.013273995</v>
      </c>
      <c r="F13" t="s">
        <v>21</v>
      </c>
      <c r="G13">
        <v>20</v>
      </c>
      <c r="H13">
        <f t="shared" si="0"/>
        <v>29.305651013273994</v>
      </c>
      <c r="I13">
        <f t="shared" si="1"/>
        <v>33.568236869931333</v>
      </c>
      <c r="J13">
        <f t="shared" si="2"/>
        <v>38.230339984084466</v>
      </c>
      <c r="S13" s="8"/>
    </row>
    <row r="14" spans="1:19" x14ac:dyDescent="0.25">
      <c r="A14" s="6" t="s">
        <v>28</v>
      </c>
      <c r="B14" s="9" t="s">
        <v>9</v>
      </c>
      <c r="C14" s="9" t="s">
        <v>22</v>
      </c>
      <c r="D14" s="6">
        <v>28941827.082091201</v>
      </c>
      <c r="F14" t="s">
        <v>22</v>
      </c>
      <c r="G14">
        <v>25</v>
      </c>
      <c r="H14">
        <f t="shared" si="0"/>
        <v>28.941827082091201</v>
      </c>
      <c r="I14">
        <f t="shared" si="1"/>
        <v>33.20441293874854</v>
      </c>
      <c r="J14">
        <f t="shared" si="2"/>
        <v>37.866516052901673</v>
      </c>
      <c r="S14" s="8"/>
    </row>
    <row r="15" spans="1:19" x14ac:dyDescent="0.25">
      <c r="A15" s="6" t="s">
        <v>28</v>
      </c>
      <c r="B15" s="9" t="s">
        <v>9</v>
      </c>
      <c r="C15" s="9" t="s">
        <v>23</v>
      </c>
      <c r="D15" s="6">
        <v>28505238.364671845</v>
      </c>
      <c r="F15" t="s">
        <v>23</v>
      </c>
      <c r="G15">
        <v>31</v>
      </c>
      <c r="H15">
        <f t="shared" si="0"/>
        <v>28.505238364671843</v>
      </c>
      <c r="I15">
        <f t="shared" si="1"/>
        <v>32.767824221329185</v>
      </c>
      <c r="J15">
        <f>D39/1000000</f>
        <v>37.429927335482311</v>
      </c>
      <c r="S15" s="8"/>
    </row>
    <row r="16" spans="1:19" x14ac:dyDescent="0.25">
      <c r="A16" s="6" t="s">
        <v>28</v>
      </c>
      <c r="B16" s="9" t="s">
        <v>10</v>
      </c>
      <c r="C16" s="9" t="s">
        <v>12</v>
      </c>
      <c r="D16" s="6">
        <v>34359425.453157149</v>
      </c>
      <c r="S16" s="8"/>
    </row>
    <row r="17" spans="1:19" x14ac:dyDescent="0.25">
      <c r="A17" s="6" t="s">
        <v>28</v>
      </c>
      <c r="B17" s="9" t="s">
        <v>10</v>
      </c>
      <c r="C17" s="9" t="s">
        <v>13</v>
      </c>
      <c r="D17" s="6">
        <v>34369674.059608757</v>
      </c>
      <c r="S17" s="8"/>
    </row>
    <row r="18" spans="1:19" x14ac:dyDescent="0.25">
      <c r="A18" s="6" t="s">
        <v>28</v>
      </c>
      <c r="B18" s="9" t="s">
        <v>10</v>
      </c>
      <c r="C18" s="9" t="s">
        <v>14</v>
      </c>
      <c r="D18" s="6">
        <v>34379922.666060366</v>
      </c>
      <c r="S18" s="8"/>
    </row>
    <row r="19" spans="1:19" x14ac:dyDescent="0.25">
      <c r="A19" s="6" t="s">
        <v>28</v>
      </c>
      <c r="B19" s="9" t="s">
        <v>10</v>
      </c>
      <c r="C19" s="9" t="s">
        <v>15</v>
      </c>
      <c r="D19" s="6">
        <v>34400419.878963597</v>
      </c>
      <c r="S19" s="8"/>
    </row>
    <row r="20" spans="1:19" x14ac:dyDescent="0.25">
      <c r="A20" s="6" t="s">
        <v>28</v>
      </c>
      <c r="B20" s="9" t="s">
        <v>10</v>
      </c>
      <c r="C20" s="9" t="s">
        <v>16</v>
      </c>
      <c r="D20" s="6">
        <v>34420917.091866821</v>
      </c>
      <c r="S20" s="8"/>
    </row>
    <row r="21" spans="1:19" x14ac:dyDescent="0.25">
      <c r="A21" s="6" t="s">
        <v>28</v>
      </c>
      <c r="B21" s="9" t="s">
        <v>10</v>
      </c>
      <c r="C21" s="9" t="s">
        <v>17</v>
      </c>
      <c r="D21" s="6">
        <v>34441414.304770045</v>
      </c>
      <c r="S21" s="8"/>
    </row>
    <row r="22" spans="1:19" x14ac:dyDescent="0.25">
      <c r="A22" s="6" t="s">
        <v>28</v>
      </c>
      <c r="B22" s="9" t="s">
        <v>10</v>
      </c>
      <c r="C22" s="9" t="s">
        <v>18</v>
      </c>
      <c r="D22" s="6">
        <v>34368649.518533498</v>
      </c>
      <c r="S22" s="8"/>
    </row>
    <row r="23" spans="1:19" x14ac:dyDescent="0.25">
      <c r="A23" s="6" t="s">
        <v>28</v>
      </c>
      <c r="B23" s="9" t="s">
        <v>10</v>
      </c>
      <c r="C23" s="9" t="s">
        <v>19</v>
      </c>
      <c r="D23" s="6">
        <v>34295884.732296929</v>
      </c>
      <c r="S23" s="8"/>
    </row>
    <row r="24" spans="1:19" x14ac:dyDescent="0.25">
      <c r="A24" s="6" t="s">
        <v>28</v>
      </c>
      <c r="B24" s="9" t="s">
        <v>10</v>
      </c>
      <c r="C24" s="9" t="s">
        <v>20</v>
      </c>
      <c r="D24" s="6">
        <v>33932060.801114127</v>
      </c>
      <c r="S24" s="8"/>
    </row>
    <row r="25" spans="1:19" x14ac:dyDescent="0.25">
      <c r="A25" s="6" t="s">
        <v>28</v>
      </c>
      <c r="B25" s="9" t="s">
        <v>10</v>
      </c>
      <c r="C25" s="9" t="s">
        <v>21</v>
      </c>
      <c r="D25" s="6">
        <v>33568236.869931333</v>
      </c>
      <c r="S25" s="8"/>
    </row>
    <row r="26" spans="1:19" x14ac:dyDescent="0.25">
      <c r="A26" s="6" t="s">
        <v>28</v>
      </c>
      <c r="B26" s="9" t="s">
        <v>10</v>
      </c>
      <c r="C26" s="9" t="s">
        <v>22</v>
      </c>
      <c r="D26" s="6">
        <v>33204412.938748538</v>
      </c>
      <c r="S26" s="8"/>
    </row>
    <row r="27" spans="1:19" x14ac:dyDescent="0.25">
      <c r="A27" s="6" t="s">
        <v>28</v>
      </c>
      <c r="B27" s="9" t="s">
        <v>10</v>
      </c>
      <c r="C27" s="9" t="s">
        <v>23</v>
      </c>
      <c r="D27" s="6">
        <v>32767824.221329182</v>
      </c>
      <c r="S27" s="8"/>
    </row>
    <row r="28" spans="1:19" x14ac:dyDescent="0.25">
      <c r="A28" s="6" t="s">
        <v>28</v>
      </c>
      <c r="B28" s="9" t="s">
        <v>11</v>
      </c>
      <c r="C28" s="9" t="s">
        <v>12</v>
      </c>
      <c r="D28" s="6">
        <v>39021528.567310281</v>
      </c>
      <c r="S28" s="8"/>
    </row>
    <row r="29" spans="1:19" x14ac:dyDescent="0.25">
      <c r="A29" s="6" t="s">
        <v>28</v>
      </c>
      <c r="B29" s="9" t="s">
        <v>11</v>
      </c>
      <c r="C29" s="9" t="s">
        <v>13</v>
      </c>
      <c r="D29" s="6">
        <v>39031777.173761889</v>
      </c>
      <c r="S29" s="8"/>
    </row>
    <row r="30" spans="1:19" x14ac:dyDescent="0.25">
      <c r="A30" s="6" t="s">
        <v>28</v>
      </c>
      <c r="B30" s="9" t="s">
        <v>11</v>
      </c>
      <c r="C30" s="9" t="s">
        <v>14</v>
      </c>
      <c r="D30" s="6">
        <v>39042025.780213498</v>
      </c>
      <c r="S30" s="8"/>
    </row>
    <row r="31" spans="1:19" x14ac:dyDescent="0.25">
      <c r="A31" s="6" t="s">
        <v>28</v>
      </c>
      <c r="B31" s="9" t="s">
        <v>11</v>
      </c>
      <c r="C31" s="9" t="s">
        <v>15</v>
      </c>
      <c r="D31" s="6">
        <v>39062522.993116729</v>
      </c>
      <c r="S31" s="8"/>
    </row>
    <row r="32" spans="1:19" x14ac:dyDescent="0.25">
      <c r="A32" s="6" t="s">
        <v>28</v>
      </c>
      <c r="B32" s="9" t="s">
        <v>11</v>
      </c>
      <c r="C32" s="9" t="s">
        <v>16</v>
      </c>
      <c r="D32" s="6">
        <v>39083020.206019953</v>
      </c>
      <c r="S32" s="8"/>
    </row>
    <row r="33" spans="1:19" x14ac:dyDescent="0.25">
      <c r="A33" s="6" t="s">
        <v>28</v>
      </c>
      <c r="B33" s="9" t="s">
        <v>11</v>
      </c>
      <c r="C33" s="9" t="s">
        <v>17</v>
      </c>
      <c r="D33" s="6">
        <v>39103517.418923177</v>
      </c>
      <c r="S33" s="8"/>
    </row>
    <row r="34" spans="1:19" x14ac:dyDescent="0.25">
      <c r="A34" s="6" t="s">
        <v>28</v>
      </c>
      <c r="B34" s="9" t="s">
        <v>11</v>
      </c>
      <c r="C34" s="9" t="s">
        <v>18</v>
      </c>
      <c r="D34" s="6">
        <v>39030752.63268663</v>
      </c>
      <c r="S34" s="8"/>
    </row>
    <row r="35" spans="1:19" x14ac:dyDescent="0.25">
      <c r="A35" s="6" t="s">
        <v>28</v>
      </c>
      <c r="B35" s="9" t="s">
        <v>11</v>
      </c>
      <c r="C35" s="9" t="s">
        <v>19</v>
      </c>
      <c r="D35" s="6">
        <v>38957987.846450068</v>
      </c>
      <c r="S35" s="8"/>
    </row>
    <row r="36" spans="1:19" x14ac:dyDescent="0.25">
      <c r="A36" s="6" t="s">
        <v>28</v>
      </c>
      <c r="B36" s="9" t="s">
        <v>11</v>
      </c>
      <c r="C36" s="9" t="s">
        <v>20</v>
      </c>
      <c r="D36" s="6">
        <v>38594163.915267259</v>
      </c>
      <c r="S36" s="8"/>
    </row>
    <row r="37" spans="1:19" x14ac:dyDescent="0.25">
      <c r="A37" s="6" t="s">
        <v>28</v>
      </c>
      <c r="B37" s="9" t="s">
        <v>11</v>
      </c>
      <c r="C37" s="9" t="s">
        <v>21</v>
      </c>
      <c r="D37" s="6">
        <v>38230339.984084465</v>
      </c>
      <c r="S37" s="8"/>
    </row>
    <row r="38" spans="1:19" x14ac:dyDescent="0.25">
      <c r="A38" s="6" t="s">
        <v>28</v>
      </c>
      <c r="B38" s="9" t="s">
        <v>11</v>
      </c>
      <c r="C38" s="9" t="s">
        <v>22</v>
      </c>
      <c r="D38" s="6">
        <v>37866516.05290167</v>
      </c>
      <c r="S38" s="8"/>
    </row>
    <row r="39" spans="1:19" x14ac:dyDescent="0.25">
      <c r="A39" s="6" t="s">
        <v>28</v>
      </c>
      <c r="B39" s="9" t="s">
        <v>11</v>
      </c>
      <c r="C39" s="9" t="s">
        <v>23</v>
      </c>
      <c r="D39" s="6">
        <v>37429927.335482314</v>
      </c>
      <c r="S39" s="8"/>
    </row>
    <row r="43" spans="1:19" x14ac:dyDescent="0.25">
      <c r="A43" s="2"/>
      <c r="B43" s="2"/>
    </row>
    <row r="44" spans="1:19" x14ac:dyDescent="0.25">
      <c r="A44" s="2"/>
      <c r="B44" s="2"/>
    </row>
    <row r="45" spans="1:19" x14ac:dyDescent="0.25">
      <c r="A45" s="2"/>
      <c r="B45" s="2"/>
    </row>
    <row r="46" spans="1:19" x14ac:dyDescent="0.25">
      <c r="A46" s="2"/>
      <c r="B46" s="2"/>
    </row>
    <row r="47" spans="1:19" x14ac:dyDescent="0.25">
      <c r="A47" s="2"/>
      <c r="B47" s="2"/>
    </row>
    <row r="48" spans="1:19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</sheetData>
  <mergeCells count="2">
    <mergeCell ref="F1:J1"/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88"/>
  <sheetViews>
    <sheetView topLeftCell="J25" zoomScale="80" zoomScaleNormal="80" workbookViewId="0">
      <selection activeCell="Y15" sqref="Y15"/>
    </sheetView>
  </sheetViews>
  <sheetFormatPr defaultRowHeight="15" x14ac:dyDescent="0.25"/>
  <cols>
    <col min="34" max="34" width="15.7109375" customWidth="1"/>
    <col min="60" max="60" width="13.5703125" bestFit="1" customWidth="1"/>
    <col min="68" max="68" width="10.140625" bestFit="1" customWidth="1"/>
  </cols>
  <sheetData>
    <row r="1" spans="1:68" ht="27.95" customHeight="1" x14ac:dyDescent="0.3">
      <c r="A1" s="22" t="s">
        <v>54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</row>
    <row r="2" spans="1:68" s="26" customFormat="1" ht="27.95" customHeight="1" x14ac:dyDescent="0.3">
      <c r="A2" s="38" t="s">
        <v>53</v>
      </c>
      <c r="B2" s="38"/>
      <c r="C2" s="38"/>
      <c r="D2" s="38"/>
      <c r="E2" s="38"/>
      <c r="F2" s="38"/>
      <c r="G2" s="38"/>
      <c r="H2" s="38" t="s">
        <v>52</v>
      </c>
      <c r="I2" s="38"/>
      <c r="J2" s="38"/>
      <c r="K2" s="38"/>
      <c r="L2" s="38"/>
      <c r="M2" s="38"/>
      <c r="N2" s="38"/>
      <c r="O2" s="38" t="s">
        <v>53</v>
      </c>
      <c r="P2" s="38"/>
      <c r="Q2" s="38"/>
      <c r="R2" s="38"/>
      <c r="S2" s="38"/>
      <c r="T2" s="38"/>
      <c r="U2" s="38"/>
      <c r="V2" s="25"/>
      <c r="W2" s="25"/>
      <c r="X2" s="25"/>
      <c r="Y2" s="25"/>
      <c r="Z2" s="25"/>
      <c r="AA2" s="25"/>
      <c r="AB2" s="25"/>
      <c r="AI2" s="35" t="s">
        <v>42</v>
      </c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BC2" s="27" t="s">
        <v>55</v>
      </c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</row>
    <row r="3" spans="1:68" ht="15.6" customHeight="1" x14ac:dyDescent="0.3">
      <c r="A3" s="39" t="s">
        <v>43</v>
      </c>
      <c r="B3" s="39"/>
      <c r="C3" s="39"/>
      <c r="D3" s="39"/>
      <c r="E3" s="39"/>
      <c r="F3" s="39"/>
      <c r="G3" s="39"/>
      <c r="H3" s="40" t="s">
        <v>3</v>
      </c>
      <c r="I3" s="40"/>
      <c r="J3" s="40"/>
      <c r="K3" s="40"/>
      <c r="L3" s="40"/>
      <c r="M3" s="40"/>
      <c r="N3" s="41"/>
      <c r="O3" s="39" t="s">
        <v>43</v>
      </c>
      <c r="P3" s="39"/>
      <c r="Q3" s="39"/>
      <c r="R3" s="39"/>
      <c r="S3" s="39"/>
      <c r="T3" s="39"/>
      <c r="U3" s="39"/>
      <c r="V3" s="25"/>
      <c r="W3" s="25"/>
      <c r="X3" s="25"/>
      <c r="Y3" s="25"/>
      <c r="Z3" s="25"/>
      <c r="AA3" s="25"/>
      <c r="AB3" s="25"/>
      <c r="AK3" t="s">
        <v>12</v>
      </c>
      <c r="AL3" t="s">
        <v>13</v>
      </c>
      <c r="AM3" t="s">
        <v>14</v>
      </c>
      <c r="AN3" t="s">
        <v>15</v>
      </c>
      <c r="AO3" t="s">
        <v>16</v>
      </c>
      <c r="AP3" t="s">
        <v>17</v>
      </c>
      <c r="AQ3" t="s">
        <v>18</v>
      </c>
      <c r="AR3" t="s">
        <v>19</v>
      </c>
      <c r="AS3" t="s">
        <v>20</v>
      </c>
      <c r="AT3" t="s">
        <v>21</v>
      </c>
      <c r="AU3" t="s">
        <v>22</v>
      </c>
      <c r="AV3" t="s">
        <v>23</v>
      </c>
      <c r="BC3" s="5"/>
      <c r="BD3" s="5"/>
      <c r="BE3" s="5" t="s">
        <v>12</v>
      </c>
      <c r="BF3" s="5" t="s">
        <v>13</v>
      </c>
      <c r="BG3" s="5" t="s">
        <v>14</v>
      </c>
      <c r="BH3" s="5" t="s">
        <v>15</v>
      </c>
      <c r="BI3" s="5" t="s">
        <v>16</v>
      </c>
      <c r="BJ3" s="5" t="s">
        <v>17</v>
      </c>
      <c r="BK3" s="5" t="s">
        <v>18</v>
      </c>
      <c r="BL3" s="5" t="s">
        <v>19</v>
      </c>
      <c r="BM3" s="5" t="s">
        <v>20</v>
      </c>
      <c r="BN3" s="5" t="s">
        <v>21</v>
      </c>
      <c r="BO3" s="5" t="s">
        <v>22</v>
      </c>
      <c r="BP3" s="5" t="s">
        <v>23</v>
      </c>
    </row>
    <row r="4" spans="1:68" x14ac:dyDescent="0.25">
      <c r="C4" t="s">
        <v>4</v>
      </c>
      <c r="D4" t="s">
        <v>5</v>
      </c>
      <c r="E4" t="s">
        <v>6</v>
      </c>
      <c r="J4" t="s">
        <v>4</v>
      </c>
      <c r="K4" t="s">
        <v>5</v>
      </c>
      <c r="L4" t="s">
        <v>6</v>
      </c>
      <c r="Q4" t="s">
        <v>4</v>
      </c>
      <c r="R4" t="s">
        <v>5</v>
      </c>
      <c r="S4" t="s">
        <v>6</v>
      </c>
      <c r="AI4" t="s">
        <v>25</v>
      </c>
      <c r="AJ4" t="s">
        <v>9</v>
      </c>
      <c r="AK4">
        <f>BE4</f>
        <v>29713165.513489299</v>
      </c>
      <c r="AL4">
        <f t="shared" ref="AL4:AV6" si="0">BF4</f>
        <v>29754825.5303187</v>
      </c>
      <c r="AM4">
        <f t="shared" si="0"/>
        <v>29799358.651756998</v>
      </c>
      <c r="AN4">
        <f t="shared" si="0"/>
        <v>29898321.143842001</v>
      </c>
      <c r="AO4">
        <f t="shared" si="0"/>
        <v>30013117.634660698</v>
      </c>
      <c r="AP4">
        <f t="shared" si="0"/>
        <v>30147878.7325783</v>
      </c>
      <c r="AQ4">
        <f t="shared" si="0"/>
        <v>30147878.7325783</v>
      </c>
      <c r="AR4">
        <f t="shared" si="0"/>
        <v>30130903.190478299</v>
      </c>
      <c r="AS4">
        <f t="shared" si="0"/>
        <v>29743840.136714902</v>
      </c>
      <c r="AT4">
        <f t="shared" si="0"/>
        <v>29356777.0829514</v>
      </c>
      <c r="AU4">
        <f t="shared" si="0"/>
        <v>28969714.029188</v>
      </c>
      <c r="AV4">
        <f t="shared" si="0"/>
        <v>28505238.3646718</v>
      </c>
      <c r="BC4" s="5" t="s">
        <v>25</v>
      </c>
      <c r="BD4" s="5" t="s">
        <v>9</v>
      </c>
      <c r="BE4" s="5">
        <v>29713165.513489299</v>
      </c>
      <c r="BF4" s="5">
        <v>29754825.5303187</v>
      </c>
      <c r="BG4" s="5">
        <v>29799358.651756998</v>
      </c>
      <c r="BH4" s="5">
        <v>29898321.143842001</v>
      </c>
      <c r="BI4" s="5">
        <v>30013117.634660698</v>
      </c>
      <c r="BJ4" s="5">
        <v>30147878.7325783</v>
      </c>
      <c r="BK4" s="5">
        <v>30147878.7325783</v>
      </c>
      <c r="BL4" s="5">
        <v>30130903.190478299</v>
      </c>
      <c r="BM4" s="5">
        <v>29743840.136714902</v>
      </c>
      <c r="BN4" s="5">
        <v>29356777.0829514</v>
      </c>
      <c r="BO4" s="5">
        <v>28969714.029188</v>
      </c>
      <c r="BP4" s="5">
        <v>28505238.3646718</v>
      </c>
    </row>
    <row r="5" spans="1:68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O5" t="s">
        <v>7</v>
      </c>
      <c r="P5" t="s">
        <v>8</v>
      </c>
      <c r="Q5" t="s">
        <v>9</v>
      </c>
      <c r="R5" t="s">
        <v>10</v>
      </c>
      <c r="S5" t="s">
        <v>11</v>
      </c>
      <c r="AI5" t="s">
        <v>25</v>
      </c>
      <c r="AJ5" t="s">
        <v>10</v>
      </c>
      <c r="AK5">
        <f t="shared" ref="AK5:AK6" si="1">BE5</f>
        <v>34359425.453157097</v>
      </c>
      <c r="AL5">
        <f t="shared" si="0"/>
        <v>34383036.555092603</v>
      </c>
      <c r="AM5">
        <f t="shared" si="0"/>
        <v>34406647.657028101</v>
      </c>
      <c r="AN5">
        <f t="shared" si="0"/>
        <v>34453869.860899098</v>
      </c>
      <c r="AO5">
        <f t="shared" si="0"/>
        <v>34501092.064770103</v>
      </c>
      <c r="AP5">
        <f t="shared" si="0"/>
        <v>34548314.268641002</v>
      </c>
      <c r="AQ5">
        <f t="shared" si="0"/>
        <v>34470901.657888301</v>
      </c>
      <c r="AR5">
        <f t="shared" si="0"/>
        <v>34393489.047135599</v>
      </c>
      <c r="AS5">
        <f>BM5</f>
        <v>34006425.993372202</v>
      </c>
      <c r="AT5">
        <f t="shared" si="0"/>
        <v>33619362.939608797</v>
      </c>
      <c r="AU5">
        <f t="shared" si="0"/>
        <v>33232299.8858453</v>
      </c>
      <c r="AV5">
        <f t="shared" si="0"/>
        <v>32767824.221329201</v>
      </c>
      <c r="BC5" s="5" t="s">
        <v>25</v>
      </c>
      <c r="BD5" s="5" t="s">
        <v>10</v>
      </c>
      <c r="BE5" s="5">
        <v>34359425.453157097</v>
      </c>
      <c r="BF5" s="5">
        <v>34383036.555092603</v>
      </c>
      <c r="BG5" s="5">
        <v>34406647.657028101</v>
      </c>
      <c r="BH5" s="5">
        <v>34453869.860899098</v>
      </c>
      <c r="BI5" s="5">
        <v>34501092.064770103</v>
      </c>
      <c r="BJ5" s="5">
        <v>34548314.268641002</v>
      </c>
      <c r="BK5" s="5">
        <v>34470901.657888301</v>
      </c>
      <c r="BL5" s="5">
        <v>34393489.047135599</v>
      </c>
      <c r="BM5" s="5">
        <v>34006425.993372202</v>
      </c>
      <c r="BN5" s="5">
        <v>33619362.939608797</v>
      </c>
      <c r="BO5" s="5">
        <v>33232299.8858453</v>
      </c>
      <c r="BP5" s="5">
        <v>32767824.221329201</v>
      </c>
    </row>
    <row r="6" spans="1:68" x14ac:dyDescent="0.25">
      <c r="A6" t="s">
        <v>12</v>
      </c>
      <c r="B6">
        <v>0</v>
      </c>
      <c r="C6" s="43">
        <f>AJ28/1000000</f>
        <v>29.713165513489297</v>
      </c>
      <c r="D6" s="43">
        <f t="shared" ref="D6:E18" si="2">AK28/1000000</f>
        <v>34.359425453157094</v>
      </c>
      <c r="E6" s="43">
        <f t="shared" si="2"/>
        <v>39.021528567310305</v>
      </c>
      <c r="H6" t="s">
        <v>12</v>
      </c>
      <c r="I6">
        <v>0</v>
      </c>
      <c r="J6" s="43">
        <f>AK$19/1000000</f>
        <v>29.713165513489297</v>
      </c>
      <c r="K6" s="43">
        <f>AK$20/1000000</f>
        <v>34.359425453157094</v>
      </c>
      <c r="L6" s="43">
        <f>AK$21/1000000</f>
        <v>39.021528567310305</v>
      </c>
      <c r="O6" t="s">
        <v>12</v>
      </c>
      <c r="P6">
        <v>0</v>
      </c>
      <c r="Q6" s="43">
        <f>AJ28/1000000</f>
        <v>29.713165513489297</v>
      </c>
      <c r="R6" s="43">
        <f>AK28/1000000</f>
        <v>34.359425453157094</v>
      </c>
      <c r="S6" s="43">
        <f>AL28/1000000</f>
        <v>39.021528567310305</v>
      </c>
      <c r="AI6" t="s">
        <v>25</v>
      </c>
      <c r="AJ6" t="s">
        <v>11</v>
      </c>
      <c r="AK6">
        <f t="shared" si="1"/>
        <v>39021528.567310303</v>
      </c>
      <c r="AL6">
        <f t="shared" si="0"/>
        <v>39045139.669245802</v>
      </c>
      <c r="AM6">
        <f t="shared" si="0"/>
        <v>39068750.771181203</v>
      </c>
      <c r="AN6">
        <f t="shared" si="0"/>
        <v>39115972.9750522</v>
      </c>
      <c r="AO6">
        <f t="shared" si="0"/>
        <v>39163195.178923197</v>
      </c>
      <c r="AP6">
        <f t="shared" si="0"/>
        <v>39210417.382794097</v>
      </c>
      <c r="AQ6">
        <f t="shared" si="0"/>
        <v>39133004.7720415</v>
      </c>
      <c r="AR6">
        <f t="shared" si="0"/>
        <v>39055592.161288798</v>
      </c>
      <c r="AS6">
        <f t="shared" si="0"/>
        <v>38668529.107525297</v>
      </c>
      <c r="AT6">
        <f t="shared" si="0"/>
        <v>38281466.053761899</v>
      </c>
      <c r="AU6">
        <f t="shared" si="0"/>
        <v>37894402.999998398</v>
      </c>
      <c r="AV6">
        <f t="shared" si="0"/>
        <v>37429927.335482299</v>
      </c>
      <c r="BC6" s="5" t="s">
        <v>25</v>
      </c>
      <c r="BD6" s="5" t="s">
        <v>11</v>
      </c>
      <c r="BE6" s="5">
        <v>39021528.567310303</v>
      </c>
      <c r="BF6" s="5">
        <v>39045139.669245802</v>
      </c>
      <c r="BG6" s="5">
        <v>39068750.771181203</v>
      </c>
      <c r="BH6" s="5">
        <v>39115972.9750522</v>
      </c>
      <c r="BI6" s="5">
        <v>39163195.178923197</v>
      </c>
      <c r="BJ6" s="5">
        <v>39210417.382794097</v>
      </c>
      <c r="BK6" s="5">
        <v>39133004.7720415</v>
      </c>
      <c r="BL6" s="5">
        <v>39055592.161288798</v>
      </c>
      <c r="BM6" s="5">
        <v>38668529.107525297</v>
      </c>
      <c r="BN6" s="5">
        <v>38281466.053761899</v>
      </c>
      <c r="BO6" s="5">
        <v>37894402.999998398</v>
      </c>
      <c r="BP6" s="5">
        <v>37429927.335482299</v>
      </c>
    </row>
    <row r="7" spans="1:68" x14ac:dyDescent="0.25">
      <c r="A7" t="s">
        <v>13</v>
      </c>
      <c r="B7">
        <v>1</v>
      </c>
      <c r="C7" s="43">
        <f t="shared" ref="C7:C18" si="3">AJ29/1000000</f>
        <v>29.1778205154468</v>
      </c>
      <c r="D7" s="43">
        <f t="shared" si="2"/>
        <v>33.513158276519</v>
      </c>
      <c r="E7" s="43">
        <f t="shared" si="2"/>
        <v>38.122046045326798</v>
      </c>
      <c r="H7" t="s">
        <v>13</v>
      </c>
      <c r="I7">
        <v>1</v>
      </c>
      <c r="J7" s="43">
        <f>AL$19/1000000</f>
        <v>29.7317122863187</v>
      </c>
      <c r="K7" s="43">
        <f>AL$20/1000000</f>
        <v>34.369674059608805</v>
      </c>
      <c r="L7" s="43">
        <f>AL$21/1000000</f>
        <v>39.031777173761895</v>
      </c>
      <c r="O7" t="s">
        <v>13</v>
      </c>
      <c r="P7">
        <v>1</v>
      </c>
      <c r="Q7" s="43">
        <f t="shared" ref="Q7:S18" si="4">AJ29/1000000</f>
        <v>29.1778205154468</v>
      </c>
      <c r="R7" s="43">
        <f t="shared" si="4"/>
        <v>33.513158276519</v>
      </c>
      <c r="S7" s="43">
        <f t="shared" si="4"/>
        <v>38.122046045326798</v>
      </c>
      <c r="BC7" s="5" t="s">
        <v>26</v>
      </c>
      <c r="BD7" s="5" t="s">
        <v>9</v>
      </c>
      <c r="BE7" s="5">
        <v>29713165.513489299</v>
      </c>
      <c r="BF7" s="5">
        <v>29743268.908318698</v>
      </c>
      <c r="BG7" s="5">
        <v>29775705.631067298</v>
      </c>
      <c r="BH7" s="5">
        <v>29848616.094953101</v>
      </c>
      <c r="BI7" s="5">
        <v>29934385.788260698</v>
      </c>
      <c r="BJ7" s="5">
        <v>30036369.292578299</v>
      </c>
      <c r="BK7" s="5">
        <v>30031435.772578299</v>
      </c>
      <c r="BL7" s="5">
        <v>30026502.252578299</v>
      </c>
      <c r="BM7" s="5">
        <v>29706657.540585801</v>
      </c>
      <c r="BN7" s="5">
        <v>29331214.048112702</v>
      </c>
      <c r="BO7" s="5">
        <v>28955770.555639599</v>
      </c>
      <c r="BP7" s="5">
        <v>28505238.3646718</v>
      </c>
    </row>
    <row r="8" spans="1:68" x14ac:dyDescent="0.25">
      <c r="A8" t="s">
        <v>14</v>
      </c>
      <c r="B8">
        <v>2</v>
      </c>
      <c r="C8" s="43">
        <f t="shared" si="3"/>
        <v>29.1692556927091</v>
      </c>
      <c r="D8" s="43">
        <f t="shared" si="2"/>
        <v>33.495296665776003</v>
      </c>
      <c r="E8" s="43">
        <f t="shared" si="2"/>
        <v>38.119840021225201</v>
      </c>
      <c r="H8" t="s">
        <v>14</v>
      </c>
      <c r="I8">
        <v>2</v>
      </c>
      <c r="J8" s="43">
        <f>AM$19/1000000</f>
        <v>29.7520526103776</v>
      </c>
      <c r="K8" s="43">
        <f>AM$20/1000000</f>
        <v>34.379922666060402</v>
      </c>
      <c r="L8" s="43">
        <f>AM$21/1000000</f>
        <v>39.0420257802135</v>
      </c>
      <c r="O8" t="s">
        <v>14</v>
      </c>
      <c r="P8">
        <v>2</v>
      </c>
      <c r="Q8" s="43">
        <f>AJ30/1000000</f>
        <v>29.1692556927091</v>
      </c>
      <c r="R8" s="43">
        <f t="shared" si="4"/>
        <v>33.495296665776003</v>
      </c>
      <c r="S8" s="43">
        <f t="shared" si="4"/>
        <v>38.119840021225201</v>
      </c>
      <c r="BC8" s="5" t="s">
        <v>26</v>
      </c>
      <c r="BD8" s="5" t="s">
        <v>10</v>
      </c>
      <c r="BE8" s="5">
        <v>34359425.453157097</v>
      </c>
      <c r="BF8" s="5">
        <v>34376355.307350703</v>
      </c>
      <c r="BG8" s="5">
        <v>34393285.161544196</v>
      </c>
      <c r="BH8" s="5">
        <v>34427144.869931303</v>
      </c>
      <c r="BI8" s="5">
        <v>34461004.578318402</v>
      </c>
      <c r="BJ8" s="5">
        <v>34494864.286705501</v>
      </c>
      <c r="BK8" s="5">
        <v>34419775.588210903</v>
      </c>
      <c r="BL8" s="5">
        <v>34344686.889716297</v>
      </c>
      <c r="BM8" s="5">
        <v>33969243.397243202</v>
      </c>
      <c r="BN8" s="5">
        <v>33593799.904770002</v>
      </c>
      <c r="BO8" s="5">
        <v>33218356.412296899</v>
      </c>
      <c r="BP8" s="5">
        <v>32767824.221329201</v>
      </c>
    </row>
    <row r="9" spans="1:68" x14ac:dyDescent="0.25">
      <c r="A9" t="s">
        <v>15</v>
      </c>
      <c r="B9">
        <v>4</v>
      </c>
      <c r="C9" s="43">
        <f t="shared" si="3"/>
        <v>29.152936017576298</v>
      </c>
      <c r="D9" s="43">
        <f t="shared" si="2"/>
        <v>33.462109494661902</v>
      </c>
      <c r="E9" s="43">
        <f t="shared" si="2"/>
        <v>38.117155412217102</v>
      </c>
      <c r="H9" t="s">
        <v>15</v>
      </c>
      <c r="I9">
        <v>4</v>
      </c>
      <c r="J9" s="43">
        <f>AN$19/1000000</f>
        <v>29.798911046064298</v>
      </c>
      <c r="K9" s="43">
        <f>AN$20/1000000</f>
        <v>34.400419878963596</v>
      </c>
      <c r="L9" s="43">
        <f>AN$21/1000000</f>
        <v>39.062522993116701</v>
      </c>
      <c r="O9" t="s">
        <v>15</v>
      </c>
      <c r="P9">
        <v>4</v>
      </c>
      <c r="Q9" s="43">
        <f t="shared" si="4"/>
        <v>29.152936017576298</v>
      </c>
      <c r="R9" s="43">
        <f t="shared" si="4"/>
        <v>33.462109494661902</v>
      </c>
      <c r="S9" s="43">
        <f t="shared" si="4"/>
        <v>38.117155412217102</v>
      </c>
      <c r="AI9" t="s">
        <v>26</v>
      </c>
      <c r="AJ9" t="s">
        <v>9</v>
      </c>
      <c r="AK9">
        <f>BE7</f>
        <v>29713165.513489299</v>
      </c>
      <c r="AL9">
        <f t="shared" ref="AL9:AV11" si="5">BF7</f>
        <v>29743268.908318698</v>
      </c>
      <c r="AM9">
        <f t="shared" si="5"/>
        <v>29775705.631067298</v>
      </c>
      <c r="AN9">
        <f t="shared" si="5"/>
        <v>29848616.094953101</v>
      </c>
      <c r="AO9">
        <f t="shared" si="5"/>
        <v>29934385.788260698</v>
      </c>
      <c r="AP9">
        <f t="shared" si="5"/>
        <v>30036369.292578299</v>
      </c>
      <c r="AQ9">
        <f t="shared" si="5"/>
        <v>30031435.772578299</v>
      </c>
      <c r="AR9">
        <f t="shared" si="5"/>
        <v>30026502.252578299</v>
      </c>
      <c r="AS9">
        <f t="shared" si="5"/>
        <v>29706657.540585801</v>
      </c>
      <c r="AT9">
        <f t="shared" si="5"/>
        <v>29331214.048112702</v>
      </c>
      <c r="AU9">
        <f t="shared" si="5"/>
        <v>28955770.555639599</v>
      </c>
      <c r="AV9">
        <f t="shared" si="5"/>
        <v>28505238.3646718</v>
      </c>
      <c r="BC9" s="5" t="s">
        <v>26</v>
      </c>
      <c r="BD9" s="5" t="s">
        <v>11</v>
      </c>
      <c r="BE9" s="5">
        <v>39021528.567310303</v>
      </c>
      <c r="BF9" s="5">
        <v>39038458.421503797</v>
      </c>
      <c r="BG9" s="5">
        <v>39055388.275697403</v>
      </c>
      <c r="BH9" s="5">
        <v>39089247.984084502</v>
      </c>
      <c r="BI9" s="5">
        <v>39123107.692471601</v>
      </c>
      <c r="BJ9" s="5">
        <v>39156967.4008587</v>
      </c>
      <c r="BK9" s="5">
        <v>39081878.702363998</v>
      </c>
      <c r="BL9" s="5">
        <v>39006790.003869399</v>
      </c>
      <c r="BM9" s="5">
        <v>38631346.511396296</v>
      </c>
      <c r="BN9" s="5">
        <v>38255903.018923201</v>
      </c>
      <c r="BO9" s="5">
        <v>37880459.526450098</v>
      </c>
      <c r="BP9" s="5">
        <v>37429927.335482299</v>
      </c>
    </row>
    <row r="10" spans="1:68" x14ac:dyDescent="0.25">
      <c r="A10" t="s">
        <v>16</v>
      </c>
      <c r="B10">
        <v>6</v>
      </c>
      <c r="C10" s="43">
        <f t="shared" si="3"/>
        <v>29.0928046583035</v>
      </c>
      <c r="D10" s="43">
        <f t="shared" si="2"/>
        <v>33.367934900488997</v>
      </c>
      <c r="E10" s="43">
        <f t="shared" si="2"/>
        <v>38.031482707645601</v>
      </c>
      <c r="H10" t="s">
        <v>16</v>
      </c>
      <c r="I10">
        <v>6</v>
      </c>
      <c r="J10" s="43">
        <f>AO$19/1000000</f>
        <v>29.855653941860698</v>
      </c>
      <c r="K10" s="43">
        <f>AO$20/1000000</f>
        <v>34.420917091866798</v>
      </c>
      <c r="L10" s="43">
        <f>AO$21/1000000</f>
        <v>39.083020206019995</v>
      </c>
      <c r="O10" t="s">
        <v>16</v>
      </c>
      <c r="P10">
        <v>6</v>
      </c>
      <c r="Q10" s="43">
        <f t="shared" si="4"/>
        <v>29.0928046583035</v>
      </c>
      <c r="R10" s="43">
        <f t="shared" si="4"/>
        <v>33.367934900488997</v>
      </c>
      <c r="S10" s="43">
        <f t="shared" si="4"/>
        <v>38.031482707645601</v>
      </c>
      <c r="AI10" t="s">
        <v>26</v>
      </c>
      <c r="AJ10" t="s">
        <v>10</v>
      </c>
      <c r="AK10">
        <f t="shared" ref="AK10:AK11" si="6">BE8</f>
        <v>34359425.453157097</v>
      </c>
      <c r="AL10">
        <f t="shared" si="5"/>
        <v>34376355.307350703</v>
      </c>
      <c r="AM10">
        <f t="shared" si="5"/>
        <v>34393285.161544196</v>
      </c>
      <c r="AN10">
        <f t="shared" si="5"/>
        <v>34427144.869931303</v>
      </c>
      <c r="AO10">
        <f t="shared" si="5"/>
        <v>34461004.578318402</v>
      </c>
      <c r="AP10">
        <f t="shared" si="5"/>
        <v>34494864.286705501</v>
      </c>
      <c r="AQ10">
        <f t="shared" si="5"/>
        <v>34419775.588210903</v>
      </c>
      <c r="AR10">
        <f t="shared" si="5"/>
        <v>34344686.889716297</v>
      </c>
      <c r="AS10">
        <f t="shared" si="5"/>
        <v>33969243.397243202</v>
      </c>
      <c r="AT10">
        <f t="shared" si="5"/>
        <v>33593799.904770002</v>
      </c>
      <c r="AU10">
        <f t="shared" si="5"/>
        <v>33218356.412296899</v>
      </c>
      <c r="AV10">
        <f t="shared" si="5"/>
        <v>32767824.221329201</v>
      </c>
      <c r="BC10" s="5" t="s">
        <v>27</v>
      </c>
      <c r="BD10" s="5" t="s">
        <v>9</v>
      </c>
      <c r="BE10" s="5">
        <v>29713165.513489299</v>
      </c>
      <c r="BF10" s="5">
        <v>29737490.597318701</v>
      </c>
      <c r="BG10" s="5">
        <v>29763879.120722499</v>
      </c>
      <c r="BH10" s="5">
        <v>29823763.5705087</v>
      </c>
      <c r="BI10" s="5">
        <v>29895019.865060698</v>
      </c>
      <c r="BJ10" s="5">
        <v>29980614.5725783</v>
      </c>
      <c r="BK10" s="5">
        <v>29973214.292578299</v>
      </c>
      <c r="BL10" s="5">
        <v>29965814.012578301</v>
      </c>
      <c r="BM10" s="5">
        <v>29688066.242521301</v>
      </c>
      <c r="BN10" s="5">
        <v>29318432.530693401</v>
      </c>
      <c r="BO10" s="5">
        <v>28948798.8188654</v>
      </c>
      <c r="BP10" s="5">
        <v>28505238.3646718</v>
      </c>
    </row>
    <row r="11" spans="1:68" x14ac:dyDescent="0.25">
      <c r="A11" t="s">
        <v>17</v>
      </c>
      <c r="B11">
        <v>8</v>
      </c>
      <c r="C11" s="43">
        <f t="shared" si="3"/>
        <v>29.034515802447597</v>
      </c>
      <c r="D11" s="43">
        <f t="shared" si="2"/>
        <v>33.265633545813095</v>
      </c>
      <c r="E11" s="43">
        <f t="shared" si="2"/>
        <v>37.942628745012904</v>
      </c>
      <c r="H11" t="s">
        <v>17</v>
      </c>
      <c r="I11">
        <v>8</v>
      </c>
      <c r="J11" s="43">
        <f>AP$19/1000000</f>
        <v>29.924859852578301</v>
      </c>
      <c r="K11" s="43">
        <f>AP$20/1000000</f>
        <v>34.441414304769999</v>
      </c>
      <c r="L11" s="43">
        <f>AP$21/1000000</f>
        <v>39.103517418923197</v>
      </c>
      <c r="O11" t="s">
        <v>17</v>
      </c>
      <c r="P11">
        <v>8</v>
      </c>
      <c r="Q11" s="43">
        <f t="shared" si="4"/>
        <v>29.034515802447597</v>
      </c>
      <c r="R11" s="43">
        <f t="shared" si="4"/>
        <v>33.265633545813095</v>
      </c>
      <c r="S11" s="43">
        <f t="shared" si="4"/>
        <v>37.942628745012904</v>
      </c>
      <c r="AI11" t="s">
        <v>26</v>
      </c>
      <c r="AJ11" t="s">
        <v>11</v>
      </c>
      <c r="AK11">
        <f t="shared" si="6"/>
        <v>39021528.567310303</v>
      </c>
      <c r="AL11">
        <f t="shared" si="5"/>
        <v>39038458.421503797</v>
      </c>
      <c r="AM11">
        <f t="shared" si="5"/>
        <v>39055388.275697403</v>
      </c>
      <c r="AN11">
        <f t="shared" si="5"/>
        <v>39089247.984084502</v>
      </c>
      <c r="AO11">
        <f t="shared" si="5"/>
        <v>39123107.692471601</v>
      </c>
      <c r="AP11">
        <f t="shared" si="5"/>
        <v>39156967.4008587</v>
      </c>
      <c r="AQ11">
        <f t="shared" si="5"/>
        <v>39081878.702363998</v>
      </c>
      <c r="AR11">
        <f t="shared" si="5"/>
        <v>39006790.003869399</v>
      </c>
      <c r="AS11">
        <f t="shared" si="5"/>
        <v>38631346.511396296</v>
      </c>
      <c r="AT11">
        <f t="shared" si="5"/>
        <v>38255903.018923201</v>
      </c>
      <c r="AU11">
        <f t="shared" si="5"/>
        <v>37880459.526450098</v>
      </c>
      <c r="AV11">
        <f t="shared" si="5"/>
        <v>37429927.335482299</v>
      </c>
      <c r="BC11" s="5" t="s">
        <v>27</v>
      </c>
      <c r="BD11" s="5" t="s">
        <v>10</v>
      </c>
      <c r="BE11" s="5">
        <v>34359425.453157097</v>
      </c>
      <c r="BF11" s="5">
        <v>34373014.683479697</v>
      </c>
      <c r="BG11" s="5">
        <v>34386603.913802303</v>
      </c>
      <c r="BH11" s="5">
        <v>34413782.374447502</v>
      </c>
      <c r="BI11" s="5">
        <v>34440960.835092597</v>
      </c>
      <c r="BJ11" s="5">
        <v>34468139.295737803</v>
      </c>
      <c r="BK11" s="5">
        <v>34394212.553372197</v>
      </c>
      <c r="BL11" s="5">
        <v>34320285.811006598</v>
      </c>
      <c r="BM11" s="5">
        <v>33950652.099178597</v>
      </c>
      <c r="BN11" s="5">
        <v>33581018.387350701</v>
      </c>
      <c r="BO11" s="5">
        <v>33211384.6755227</v>
      </c>
      <c r="BP11" s="5">
        <v>32767824.221329201</v>
      </c>
    </row>
    <row r="12" spans="1:68" x14ac:dyDescent="0.25">
      <c r="A12" t="s">
        <v>18</v>
      </c>
      <c r="B12">
        <v>9</v>
      </c>
      <c r="C12" s="43">
        <f t="shared" si="3"/>
        <v>28.8764098247836</v>
      </c>
      <c r="D12" s="43">
        <f t="shared" si="2"/>
        <v>33.066664933346701</v>
      </c>
      <c r="E12" s="43">
        <f t="shared" si="2"/>
        <v>37.774263090484901</v>
      </c>
      <c r="H12" t="s">
        <v>18</v>
      </c>
      <c r="I12">
        <v>9</v>
      </c>
      <c r="J12" s="43">
        <f>AQ$19/1000000</f>
        <v>29.914992812578298</v>
      </c>
      <c r="K12" s="43">
        <f>AQ$20/1000000</f>
        <v>34.368649518533495</v>
      </c>
      <c r="L12" s="43">
        <f>AQ$21/1000000</f>
        <v>39.0307526326866</v>
      </c>
      <c r="O12" t="s">
        <v>18</v>
      </c>
      <c r="P12">
        <v>9</v>
      </c>
      <c r="Q12" s="43">
        <f t="shared" si="4"/>
        <v>28.8764098247836</v>
      </c>
      <c r="R12" s="43">
        <f t="shared" si="4"/>
        <v>33.066664933346701</v>
      </c>
      <c r="S12" s="43">
        <f t="shared" si="4"/>
        <v>37.774263090484901</v>
      </c>
      <c r="BC12" s="5" t="s">
        <v>27</v>
      </c>
      <c r="BD12" s="5" t="s">
        <v>11</v>
      </c>
      <c r="BE12" s="5">
        <v>39021528.567310303</v>
      </c>
      <c r="BF12" s="5">
        <v>39035117.797632903</v>
      </c>
      <c r="BG12" s="5">
        <v>39048707.027955398</v>
      </c>
      <c r="BH12" s="5">
        <v>39075885.488600597</v>
      </c>
      <c r="BI12" s="5">
        <v>39103063.949245803</v>
      </c>
      <c r="BJ12" s="5">
        <v>39130242.409890898</v>
      </c>
      <c r="BK12" s="5">
        <v>39056315.667525299</v>
      </c>
      <c r="BL12" s="5">
        <v>38982388.9251597</v>
      </c>
      <c r="BM12" s="5">
        <v>38612755.213331804</v>
      </c>
      <c r="BN12" s="5">
        <v>38243121.501503803</v>
      </c>
      <c r="BO12" s="5">
        <v>37873487.789675899</v>
      </c>
      <c r="BP12" s="5">
        <v>37429927.335482299</v>
      </c>
    </row>
    <row r="13" spans="1:68" x14ac:dyDescent="0.25">
      <c r="A13" t="s">
        <v>19</v>
      </c>
      <c r="B13">
        <v>10</v>
      </c>
      <c r="C13" s="43">
        <f t="shared" si="3"/>
        <v>28.7183038471196</v>
      </c>
      <c r="D13" s="43">
        <f t="shared" si="2"/>
        <v>32.895022708773098</v>
      </c>
      <c r="E13" s="43">
        <f t="shared" si="2"/>
        <v>37.605897435956905</v>
      </c>
      <c r="H13" t="s">
        <v>19</v>
      </c>
      <c r="I13">
        <v>10</v>
      </c>
      <c r="J13" s="43">
        <f>AR$19/1000000</f>
        <v>29.905125772578298</v>
      </c>
      <c r="K13" s="43">
        <f>AR$20/1000000</f>
        <v>34.295884732296898</v>
      </c>
      <c r="L13" s="43">
        <f>AR$21/1000000</f>
        <v>38.957987846450095</v>
      </c>
      <c r="O13" t="s">
        <v>19</v>
      </c>
      <c r="P13">
        <v>10</v>
      </c>
      <c r="Q13" s="43">
        <f t="shared" si="4"/>
        <v>28.7183038471196</v>
      </c>
      <c r="R13" s="43">
        <f t="shared" si="4"/>
        <v>32.895022708773098</v>
      </c>
      <c r="S13" s="43">
        <f t="shared" si="4"/>
        <v>37.605897435956905</v>
      </c>
      <c r="BC13" s="5" t="s">
        <v>28</v>
      </c>
      <c r="BD13" s="5" t="s">
        <v>9</v>
      </c>
      <c r="BE13" s="5">
        <v>29713165.513489299</v>
      </c>
      <c r="BF13" s="5">
        <v>29731712.286318701</v>
      </c>
      <c r="BG13" s="5">
        <v>29752052.610377599</v>
      </c>
      <c r="BH13" s="5">
        <v>29798911.046064299</v>
      </c>
      <c r="BI13" s="5">
        <v>29855653.941860698</v>
      </c>
      <c r="BJ13" s="5">
        <v>29924859.852578301</v>
      </c>
      <c r="BK13" s="5">
        <v>29914992.812578298</v>
      </c>
      <c r="BL13" s="5">
        <v>29905125.772578299</v>
      </c>
      <c r="BM13" s="5">
        <v>29669474.944456801</v>
      </c>
      <c r="BN13" s="5">
        <v>29305651.013273999</v>
      </c>
      <c r="BO13" s="5">
        <v>28941827.082091201</v>
      </c>
      <c r="BP13" s="5">
        <v>28505238.3646718</v>
      </c>
    </row>
    <row r="14" spans="1:68" x14ac:dyDescent="0.25">
      <c r="A14" t="s">
        <v>20</v>
      </c>
      <c r="B14">
        <v>12</v>
      </c>
      <c r="C14" s="43">
        <f t="shared" si="3"/>
        <v>28.402091891791599</v>
      </c>
      <c r="D14" s="43">
        <f t="shared" si="2"/>
        <v>32.551526366885099</v>
      </c>
      <c r="E14" s="43">
        <f t="shared" si="2"/>
        <v>37.269166126900899</v>
      </c>
      <c r="H14" t="s">
        <v>20</v>
      </c>
      <c r="I14">
        <v>15</v>
      </c>
      <c r="J14" s="43">
        <f>AS$19/1000000</f>
        <v>29.669474944456802</v>
      </c>
      <c r="K14" s="43">
        <f>AS$20/1000000</f>
        <v>33.932060801114098</v>
      </c>
      <c r="L14" s="43">
        <f>AS$21/1000000</f>
        <v>38.594163915267302</v>
      </c>
      <c r="O14" t="s">
        <v>20</v>
      </c>
      <c r="P14">
        <v>12</v>
      </c>
      <c r="Q14" s="43">
        <f t="shared" si="4"/>
        <v>28.402091891791599</v>
      </c>
      <c r="R14" s="43">
        <f t="shared" si="4"/>
        <v>32.551526366885099</v>
      </c>
      <c r="S14" s="43">
        <f t="shared" si="4"/>
        <v>37.269166126900899</v>
      </c>
      <c r="AI14" t="s">
        <v>27</v>
      </c>
      <c r="AJ14" t="s">
        <v>9</v>
      </c>
      <c r="AK14">
        <f>BE10</f>
        <v>29713165.513489299</v>
      </c>
      <c r="AL14">
        <f t="shared" ref="AL14:AV16" si="7">BF10</f>
        <v>29737490.597318701</v>
      </c>
      <c r="AM14">
        <f t="shared" si="7"/>
        <v>29763879.120722499</v>
      </c>
      <c r="AN14">
        <f t="shared" si="7"/>
        <v>29823763.5705087</v>
      </c>
      <c r="AO14">
        <f t="shared" si="7"/>
        <v>29895019.865060698</v>
      </c>
      <c r="AP14">
        <f t="shared" si="7"/>
        <v>29980614.5725783</v>
      </c>
      <c r="AQ14">
        <f t="shared" si="7"/>
        <v>29973214.292578299</v>
      </c>
      <c r="AR14">
        <f t="shared" si="7"/>
        <v>29965814.012578301</v>
      </c>
      <c r="AS14">
        <f t="shared" si="7"/>
        <v>29688066.242521301</v>
      </c>
      <c r="AT14">
        <f t="shared" si="7"/>
        <v>29318432.530693401</v>
      </c>
      <c r="AU14">
        <f t="shared" si="7"/>
        <v>28948798.8188654</v>
      </c>
      <c r="AV14">
        <f t="shared" si="7"/>
        <v>28505238.3646718</v>
      </c>
      <c r="BC14" s="5" t="s">
        <v>28</v>
      </c>
      <c r="BD14" s="5" t="s">
        <v>10</v>
      </c>
      <c r="BE14" s="5">
        <v>34359425.453157097</v>
      </c>
      <c r="BF14" s="5">
        <v>34369674.059608802</v>
      </c>
      <c r="BG14" s="5">
        <v>34379922.666060403</v>
      </c>
      <c r="BH14" s="5">
        <v>34400419.878963597</v>
      </c>
      <c r="BI14" s="5">
        <v>34420917.091866799</v>
      </c>
      <c r="BJ14" s="5">
        <v>34441414.30477</v>
      </c>
      <c r="BK14" s="5">
        <v>34368649.518533498</v>
      </c>
      <c r="BL14" s="5">
        <v>34295884.732296899</v>
      </c>
      <c r="BM14" s="5">
        <v>33932060.801114097</v>
      </c>
      <c r="BN14" s="5">
        <v>33568236.869931303</v>
      </c>
      <c r="BO14" s="5">
        <v>33204412.938748501</v>
      </c>
      <c r="BP14" s="5">
        <v>32767824.221329201</v>
      </c>
    </row>
    <row r="15" spans="1:68" x14ac:dyDescent="0.25">
      <c r="A15" t="s">
        <v>21</v>
      </c>
      <c r="B15">
        <v>15</v>
      </c>
      <c r="C15" s="43">
        <f t="shared" si="3"/>
        <v>28.010958089365602</v>
      </c>
      <c r="D15" s="43">
        <f t="shared" si="2"/>
        <v>32.102303975736199</v>
      </c>
      <c r="E15" s="43">
        <f t="shared" si="2"/>
        <v>36.896217478834899</v>
      </c>
      <c r="H15" t="s">
        <v>21</v>
      </c>
      <c r="I15">
        <v>20</v>
      </c>
      <c r="J15" s="43">
        <f>AT$19/1000000</f>
        <v>29.305651013273998</v>
      </c>
      <c r="K15" s="43">
        <f>AT$20/1000000</f>
        <v>33.568236869931305</v>
      </c>
      <c r="L15" s="43">
        <f>AT$21/1000000</f>
        <v>38.230339984084502</v>
      </c>
      <c r="O15" t="s">
        <v>21</v>
      </c>
      <c r="P15">
        <v>15</v>
      </c>
      <c r="Q15" s="43">
        <f t="shared" si="4"/>
        <v>28.010958089365602</v>
      </c>
      <c r="R15" s="43">
        <f t="shared" si="4"/>
        <v>32.102303975736199</v>
      </c>
      <c r="S15" s="43">
        <f t="shared" si="4"/>
        <v>36.896217478834899</v>
      </c>
      <c r="AI15" t="s">
        <v>27</v>
      </c>
      <c r="AJ15" t="s">
        <v>10</v>
      </c>
      <c r="AK15">
        <f t="shared" ref="AK15:AK16" si="8">BE11</f>
        <v>34359425.453157097</v>
      </c>
      <c r="AL15">
        <f t="shared" si="7"/>
        <v>34373014.683479697</v>
      </c>
      <c r="AM15">
        <f t="shared" si="7"/>
        <v>34386603.913802303</v>
      </c>
      <c r="AN15">
        <f t="shared" si="7"/>
        <v>34413782.374447502</v>
      </c>
      <c r="AO15">
        <f t="shared" si="7"/>
        <v>34440960.835092597</v>
      </c>
      <c r="AP15">
        <f t="shared" si="7"/>
        <v>34468139.295737803</v>
      </c>
      <c r="AQ15">
        <f t="shared" si="7"/>
        <v>34394212.553372197</v>
      </c>
      <c r="AR15">
        <f t="shared" si="7"/>
        <v>34320285.811006598</v>
      </c>
      <c r="AS15">
        <f t="shared" si="7"/>
        <v>33950652.099178597</v>
      </c>
      <c r="AT15">
        <f t="shared" si="7"/>
        <v>33581018.387350701</v>
      </c>
      <c r="AU15">
        <f t="shared" si="7"/>
        <v>33211384.6755227</v>
      </c>
      <c r="AV15">
        <f t="shared" si="7"/>
        <v>32767824.221329201</v>
      </c>
      <c r="BC15" s="5" t="s">
        <v>28</v>
      </c>
      <c r="BD15" s="5" t="s">
        <v>11</v>
      </c>
      <c r="BE15" s="5">
        <v>39021528.567310303</v>
      </c>
      <c r="BF15" s="5">
        <v>39031777.173761897</v>
      </c>
      <c r="BG15" s="5">
        <v>39042025.780213498</v>
      </c>
      <c r="BH15" s="5">
        <v>39062522.993116699</v>
      </c>
      <c r="BI15" s="5">
        <v>39083020.206019998</v>
      </c>
      <c r="BJ15" s="5">
        <v>39103517.418923199</v>
      </c>
      <c r="BK15" s="5">
        <v>39030752.6326866</v>
      </c>
      <c r="BL15" s="5">
        <v>38957987.846450098</v>
      </c>
      <c r="BM15" s="5">
        <v>38594163.915267304</v>
      </c>
      <c r="BN15" s="5">
        <v>38230339.984084502</v>
      </c>
      <c r="BO15" s="5">
        <v>37866516.0529017</v>
      </c>
      <c r="BP15" s="5">
        <v>37429927.335482299</v>
      </c>
    </row>
    <row r="16" spans="1:68" x14ac:dyDescent="0.25">
      <c r="A16" t="s">
        <v>22</v>
      </c>
      <c r="B16">
        <v>20</v>
      </c>
      <c r="C16" s="43">
        <f t="shared" si="3"/>
        <v>27.462149441326801</v>
      </c>
      <c r="D16" s="43">
        <f t="shared" si="2"/>
        <v>31.477487309516299</v>
      </c>
      <c r="E16" s="43">
        <f t="shared" si="2"/>
        <v>36.3730976048952</v>
      </c>
      <c r="H16" t="s">
        <v>22</v>
      </c>
      <c r="I16">
        <v>25</v>
      </c>
      <c r="J16" s="43">
        <f>AU$19/1000000</f>
        <v>28.941827082091201</v>
      </c>
      <c r="K16" s="43">
        <f>AU$20/1000000</f>
        <v>33.204412938748504</v>
      </c>
      <c r="L16" s="43">
        <f>AU$21/1000000</f>
        <v>37.866516052901702</v>
      </c>
      <c r="O16" t="s">
        <v>22</v>
      </c>
      <c r="P16">
        <v>20</v>
      </c>
      <c r="Q16" s="43">
        <f t="shared" si="4"/>
        <v>27.462149441326801</v>
      </c>
      <c r="R16" s="43">
        <f t="shared" si="4"/>
        <v>31.477487309516299</v>
      </c>
      <c r="S16" s="43">
        <f t="shared" si="4"/>
        <v>36.3730976048952</v>
      </c>
      <c r="AI16" t="s">
        <v>27</v>
      </c>
      <c r="AJ16" t="s">
        <v>11</v>
      </c>
      <c r="AK16">
        <f t="shared" si="8"/>
        <v>39021528.567310303</v>
      </c>
      <c r="AL16">
        <f t="shared" si="7"/>
        <v>39035117.797632903</v>
      </c>
      <c r="AM16">
        <f t="shared" si="7"/>
        <v>39048707.027955398</v>
      </c>
      <c r="AN16">
        <f t="shared" si="7"/>
        <v>39075885.488600597</v>
      </c>
      <c r="AO16">
        <f t="shared" si="7"/>
        <v>39103063.949245803</v>
      </c>
      <c r="AP16">
        <f t="shared" si="7"/>
        <v>39130242.409890898</v>
      </c>
      <c r="AQ16">
        <f t="shared" si="7"/>
        <v>39056315.667525299</v>
      </c>
      <c r="AR16">
        <f t="shared" si="7"/>
        <v>38982388.9251597</v>
      </c>
      <c r="AS16">
        <f t="shared" si="7"/>
        <v>38612755.213331804</v>
      </c>
      <c r="AT16">
        <f t="shared" si="7"/>
        <v>38243121.501503803</v>
      </c>
      <c r="AU16">
        <f t="shared" si="7"/>
        <v>37873487.789675899</v>
      </c>
      <c r="AV16">
        <f t="shared" si="7"/>
        <v>37429927.335482299</v>
      </c>
    </row>
    <row r="17" spans="1:48" x14ac:dyDescent="0.25">
      <c r="A17" t="s">
        <v>23</v>
      </c>
      <c r="B17">
        <v>25</v>
      </c>
      <c r="C17" s="43">
        <f t="shared" si="3"/>
        <v>26.9864966803671</v>
      </c>
      <c r="D17" s="43">
        <f t="shared" si="2"/>
        <v>30.9563122892765</v>
      </c>
      <c r="E17" s="43">
        <f t="shared" si="2"/>
        <v>35.928509057854299</v>
      </c>
      <c r="H17" t="s">
        <v>23</v>
      </c>
      <c r="I17">
        <v>31</v>
      </c>
      <c r="J17" s="43">
        <f>AV$19/1000000</f>
        <v>28.505238364671801</v>
      </c>
      <c r="K17" s="43">
        <f>AV$20/1000000</f>
        <v>32.767824221329199</v>
      </c>
      <c r="L17" s="43">
        <f>AV$21/1000000</f>
        <v>37.429927335482297</v>
      </c>
      <c r="O17" t="s">
        <v>23</v>
      </c>
      <c r="P17">
        <v>25</v>
      </c>
      <c r="Q17" s="43">
        <f t="shared" si="4"/>
        <v>26.9864966803671</v>
      </c>
      <c r="R17" s="43">
        <f>AK39/1000000</f>
        <v>30.9563122892765</v>
      </c>
      <c r="S17" s="43">
        <f t="shared" si="4"/>
        <v>35.928509057854299</v>
      </c>
    </row>
    <row r="18" spans="1:48" x14ac:dyDescent="0.25">
      <c r="A18" t="s">
        <v>44</v>
      </c>
      <c r="B18">
        <v>31</v>
      </c>
      <c r="C18" s="43">
        <f t="shared" si="3"/>
        <v>26.476397450500201</v>
      </c>
      <c r="D18" s="43">
        <f t="shared" si="2"/>
        <v>30.420635870734301</v>
      </c>
      <c r="E18" s="43">
        <f t="shared" si="2"/>
        <v>35.462995730887705</v>
      </c>
      <c r="O18" t="s">
        <v>45</v>
      </c>
      <c r="P18">
        <v>31</v>
      </c>
      <c r="Q18" s="43">
        <f>AJ40/1000000</f>
        <v>26.476397450500201</v>
      </c>
      <c r="R18" s="43">
        <f>AK40/1000000</f>
        <v>30.420635870734301</v>
      </c>
      <c r="S18" s="43">
        <f t="shared" si="4"/>
        <v>35.462995730887705</v>
      </c>
    </row>
    <row r="19" spans="1:48" x14ac:dyDescent="0.25">
      <c r="AI19" t="s">
        <v>28</v>
      </c>
      <c r="AJ19" t="s">
        <v>9</v>
      </c>
      <c r="AK19">
        <f>BE13</f>
        <v>29713165.513489299</v>
      </c>
      <c r="AL19">
        <f t="shared" ref="AL19:AV21" si="9">BF13</f>
        <v>29731712.286318701</v>
      </c>
      <c r="AM19">
        <f t="shared" si="9"/>
        <v>29752052.610377599</v>
      </c>
      <c r="AN19">
        <f t="shared" si="9"/>
        <v>29798911.046064299</v>
      </c>
      <c r="AO19">
        <f t="shared" si="9"/>
        <v>29855653.941860698</v>
      </c>
      <c r="AP19">
        <f t="shared" si="9"/>
        <v>29924859.852578301</v>
      </c>
      <c r="AQ19">
        <f t="shared" si="9"/>
        <v>29914992.812578298</v>
      </c>
      <c r="AR19">
        <f t="shared" si="9"/>
        <v>29905125.772578299</v>
      </c>
      <c r="AS19">
        <f t="shared" si="9"/>
        <v>29669474.944456801</v>
      </c>
      <c r="AT19">
        <f t="shared" si="9"/>
        <v>29305651.013273999</v>
      </c>
      <c r="AU19">
        <f t="shared" si="9"/>
        <v>28941827.082091201</v>
      </c>
      <c r="AV19">
        <f t="shared" si="9"/>
        <v>28505238.3646718</v>
      </c>
    </row>
    <row r="20" spans="1:48" x14ac:dyDescent="0.25">
      <c r="AI20" t="s">
        <v>28</v>
      </c>
      <c r="AJ20" t="s">
        <v>10</v>
      </c>
      <c r="AK20">
        <f t="shared" ref="AK20:AK21" si="10">BE14</f>
        <v>34359425.453157097</v>
      </c>
      <c r="AL20">
        <f t="shared" si="9"/>
        <v>34369674.059608802</v>
      </c>
      <c r="AM20">
        <f t="shared" si="9"/>
        <v>34379922.666060403</v>
      </c>
      <c r="AN20">
        <f t="shared" si="9"/>
        <v>34400419.878963597</v>
      </c>
      <c r="AO20">
        <f t="shared" si="9"/>
        <v>34420917.091866799</v>
      </c>
      <c r="AP20">
        <f t="shared" si="9"/>
        <v>34441414.30477</v>
      </c>
      <c r="AQ20">
        <f t="shared" si="9"/>
        <v>34368649.518533498</v>
      </c>
      <c r="AR20">
        <f t="shared" si="9"/>
        <v>34295884.732296899</v>
      </c>
      <c r="AS20">
        <f t="shared" si="9"/>
        <v>33932060.801114097</v>
      </c>
      <c r="AT20">
        <f t="shared" si="9"/>
        <v>33568236.869931303</v>
      </c>
      <c r="AU20">
        <f t="shared" si="9"/>
        <v>33204412.938748501</v>
      </c>
      <c r="AV20">
        <f t="shared" si="9"/>
        <v>32767824.221329201</v>
      </c>
    </row>
    <row r="21" spans="1:48" x14ac:dyDescent="0.25">
      <c r="AI21" t="s">
        <v>28</v>
      </c>
      <c r="AJ21" t="s">
        <v>11</v>
      </c>
      <c r="AK21">
        <f t="shared" si="10"/>
        <v>39021528.567310303</v>
      </c>
      <c r="AL21">
        <f t="shared" si="9"/>
        <v>39031777.173761897</v>
      </c>
      <c r="AM21">
        <f t="shared" si="9"/>
        <v>39042025.780213498</v>
      </c>
      <c r="AN21">
        <f t="shared" si="9"/>
        <v>39062522.993116699</v>
      </c>
      <c r="AO21">
        <f t="shared" si="9"/>
        <v>39083020.206019998</v>
      </c>
      <c r="AP21">
        <f t="shared" si="9"/>
        <v>39103517.418923199</v>
      </c>
      <c r="AQ21">
        <f t="shared" si="9"/>
        <v>39030752.6326866</v>
      </c>
      <c r="AR21">
        <f t="shared" si="9"/>
        <v>38957987.846450098</v>
      </c>
      <c r="AS21">
        <f t="shared" si="9"/>
        <v>38594163.915267304</v>
      </c>
      <c r="AT21">
        <f t="shared" si="9"/>
        <v>38230339.984084502</v>
      </c>
      <c r="AU21">
        <f t="shared" si="9"/>
        <v>37866516.0529017</v>
      </c>
      <c r="AV21">
        <f t="shared" si="9"/>
        <v>37429927.335482299</v>
      </c>
    </row>
    <row r="25" spans="1:48" ht="59.25" customHeight="1" x14ac:dyDescent="0.35">
      <c r="AH25" s="29" t="s">
        <v>46</v>
      </c>
      <c r="AI25" s="29"/>
      <c r="AJ25" s="29"/>
      <c r="AK25" s="29"/>
      <c r="AL25" s="29"/>
      <c r="AM25" s="30"/>
      <c r="AN25" s="30"/>
      <c r="AO25" s="30"/>
      <c r="AP25" s="30"/>
      <c r="AQ25" s="30"/>
      <c r="AR25" s="30"/>
      <c r="AS25" s="30"/>
      <c r="AT25" s="30"/>
      <c r="AU25" s="30"/>
      <c r="AV25" s="31"/>
    </row>
    <row r="26" spans="1:48" x14ac:dyDescent="0.25">
      <c r="AH26" s="6"/>
      <c r="AI26" s="6"/>
      <c r="AJ26" s="6" t="s">
        <v>9</v>
      </c>
      <c r="AK26" s="6" t="s">
        <v>10</v>
      </c>
      <c r="AL26" s="6" t="s">
        <v>11</v>
      </c>
    </row>
    <row r="27" spans="1:48" x14ac:dyDescent="0.25">
      <c r="AH27" s="6"/>
      <c r="AI27" s="6"/>
      <c r="AJ27" s="6" t="s">
        <v>28</v>
      </c>
      <c r="AK27" s="6" t="s">
        <v>28</v>
      </c>
      <c r="AL27" s="6" t="s">
        <v>28</v>
      </c>
    </row>
    <row r="28" spans="1:48" x14ac:dyDescent="0.25">
      <c r="AH28" s="6" t="s">
        <v>47</v>
      </c>
      <c r="AI28" s="6" t="s">
        <v>12</v>
      </c>
      <c r="AJ28" s="6">
        <v>29713165.513489299</v>
      </c>
      <c r="AK28" s="6">
        <v>34359425.453157097</v>
      </c>
      <c r="AL28" s="6">
        <v>39021528.567310303</v>
      </c>
    </row>
    <row r="29" spans="1:48" x14ac:dyDescent="0.25">
      <c r="AH29" s="6" t="s">
        <v>47</v>
      </c>
      <c r="AI29" s="6" t="s">
        <v>13</v>
      </c>
      <c r="AJ29" s="6">
        <v>29177820.515446801</v>
      </c>
      <c r="AK29" s="6">
        <v>33513158.276519001</v>
      </c>
      <c r="AL29" s="6">
        <v>38122046.045326799</v>
      </c>
    </row>
    <row r="30" spans="1:48" x14ac:dyDescent="0.25">
      <c r="AH30" s="6" t="s">
        <v>47</v>
      </c>
      <c r="AI30" s="6" t="s">
        <v>14</v>
      </c>
      <c r="AJ30" s="6">
        <v>29169255.6927091</v>
      </c>
      <c r="AK30" s="6">
        <v>33495296.665775999</v>
      </c>
      <c r="AL30" s="6">
        <v>38119840.021225199</v>
      </c>
    </row>
    <row r="31" spans="1:48" x14ac:dyDescent="0.25">
      <c r="AH31" s="6" t="s">
        <v>47</v>
      </c>
      <c r="AI31" s="6" t="s">
        <v>15</v>
      </c>
      <c r="AJ31" s="6">
        <v>29152936.0175763</v>
      </c>
      <c r="AK31" s="6">
        <v>33462109.494661901</v>
      </c>
      <c r="AL31" s="6">
        <v>38117155.412217103</v>
      </c>
    </row>
    <row r="32" spans="1:48" x14ac:dyDescent="0.25">
      <c r="AH32" s="6" t="s">
        <v>47</v>
      </c>
      <c r="AI32" s="6" t="s">
        <v>16</v>
      </c>
      <c r="AJ32" s="6">
        <v>29092804.658303499</v>
      </c>
      <c r="AK32" s="6">
        <v>33367934.900488999</v>
      </c>
      <c r="AL32" s="6">
        <v>38031482.707645603</v>
      </c>
    </row>
    <row r="33" spans="22:76" x14ac:dyDescent="0.25">
      <c r="AH33" s="6" t="s">
        <v>47</v>
      </c>
      <c r="AI33" s="6" t="s">
        <v>17</v>
      </c>
      <c r="AJ33" s="6">
        <v>29034515.802447598</v>
      </c>
      <c r="AK33" s="6">
        <v>33265633.545813099</v>
      </c>
      <c r="AL33" s="6">
        <v>37942628.745012902</v>
      </c>
    </row>
    <row r="34" spans="22:76" x14ac:dyDescent="0.25">
      <c r="AH34" s="6" t="s">
        <v>47</v>
      </c>
      <c r="AI34" s="6" t="s">
        <v>18</v>
      </c>
      <c r="AJ34" s="6">
        <v>28876409.824783601</v>
      </c>
      <c r="AK34" s="6">
        <v>33066664.9333467</v>
      </c>
      <c r="AL34" s="6">
        <v>37774263.090484902</v>
      </c>
    </row>
    <row r="35" spans="22:76" x14ac:dyDescent="0.25">
      <c r="AH35" s="6" t="s">
        <v>47</v>
      </c>
      <c r="AI35" s="6" t="s">
        <v>19</v>
      </c>
      <c r="AJ35" s="6">
        <v>28718303.8471196</v>
      </c>
      <c r="AK35" s="6">
        <v>32895022.708773099</v>
      </c>
      <c r="AL35" s="6">
        <v>37605897.435956903</v>
      </c>
    </row>
    <row r="36" spans="22:76" x14ac:dyDescent="0.25">
      <c r="AH36" s="6" t="s">
        <v>47</v>
      </c>
      <c r="AI36" s="6" t="s">
        <v>20</v>
      </c>
      <c r="AJ36" s="6">
        <v>28402091.891791601</v>
      </c>
      <c r="AK36" s="6">
        <v>32551526.3668851</v>
      </c>
      <c r="AL36" s="6">
        <v>37269166.126900896</v>
      </c>
    </row>
    <row r="37" spans="22:76" x14ac:dyDescent="0.25">
      <c r="AH37" s="6" t="s">
        <v>47</v>
      </c>
      <c r="AI37" s="6" t="s">
        <v>21</v>
      </c>
      <c r="AJ37" s="6">
        <v>28010958.089365602</v>
      </c>
      <c r="AK37" s="6">
        <v>32102303.975736201</v>
      </c>
      <c r="AL37" s="6">
        <v>36896217.478834897</v>
      </c>
    </row>
    <row r="38" spans="22:76" x14ac:dyDescent="0.25">
      <c r="AH38" s="6" t="s">
        <v>47</v>
      </c>
      <c r="AI38" s="6" t="s">
        <v>22</v>
      </c>
      <c r="AJ38" s="6">
        <v>27462149.441326801</v>
      </c>
      <c r="AK38" s="6">
        <v>31477487.3095163</v>
      </c>
      <c r="AL38" s="6">
        <v>36373097.604895197</v>
      </c>
    </row>
    <row r="39" spans="22:76" x14ac:dyDescent="0.25">
      <c r="AH39" s="6" t="s">
        <v>47</v>
      </c>
      <c r="AI39" s="6" t="s">
        <v>23</v>
      </c>
      <c r="AJ39" s="6">
        <v>26986496.680367101</v>
      </c>
      <c r="AK39" s="6">
        <v>30956312.289276499</v>
      </c>
      <c r="AL39" s="6">
        <v>35928509.057854302</v>
      </c>
    </row>
    <row r="40" spans="22:76" x14ac:dyDescent="0.25">
      <c r="V40" t="s">
        <v>29</v>
      </c>
      <c r="AH40" s="6" t="s">
        <v>47</v>
      </c>
      <c r="AI40" s="6" t="s">
        <v>44</v>
      </c>
      <c r="AJ40" s="6">
        <v>26476397.450500201</v>
      </c>
      <c r="AK40" s="6">
        <v>30420635.8707343</v>
      </c>
      <c r="AL40" s="6">
        <v>35462995.730887704</v>
      </c>
    </row>
    <row r="41" spans="22:76" x14ac:dyDescent="0.25">
      <c r="AH41" s="6" t="s">
        <v>48</v>
      </c>
      <c r="AI41" s="6" t="s">
        <v>12</v>
      </c>
      <c r="AJ41" s="6">
        <v>29713165.513489299</v>
      </c>
      <c r="AK41" s="6">
        <v>34359425.453157097</v>
      </c>
      <c r="AL41" s="6">
        <v>39021528.567310303</v>
      </c>
    </row>
    <row r="42" spans="22:76" x14ac:dyDescent="0.25">
      <c r="AH42" s="6" t="s">
        <v>48</v>
      </c>
      <c r="AI42" s="6" t="s">
        <v>13</v>
      </c>
      <c r="AJ42" s="6">
        <v>29286101.504073299</v>
      </c>
      <c r="AK42" s="6">
        <v>33561447.574217796</v>
      </c>
      <c r="AL42" s="6">
        <v>38246871.343338802</v>
      </c>
    </row>
    <row r="43" spans="22:76" ht="23.25" x14ac:dyDescent="0.35">
      <c r="Z43" s="1"/>
      <c r="AH43" s="6" t="s">
        <v>48</v>
      </c>
      <c r="AI43" s="6" t="s">
        <v>14</v>
      </c>
      <c r="AJ43" s="6">
        <v>29277536.681335598</v>
      </c>
      <c r="AK43" s="6">
        <v>33543585.963474799</v>
      </c>
      <c r="AL43" s="6">
        <v>38244665.319237202</v>
      </c>
    </row>
    <row r="44" spans="22:76" x14ac:dyDescent="0.25">
      <c r="AH44" s="6" t="s">
        <v>48</v>
      </c>
      <c r="AI44" s="6" t="s">
        <v>15</v>
      </c>
      <c r="AJ44" s="6">
        <v>29261217.006202798</v>
      </c>
      <c r="AK44" s="6">
        <v>33510398.792360701</v>
      </c>
      <c r="AL44" s="6">
        <v>38241980.710229203</v>
      </c>
    </row>
    <row r="45" spans="22:76" x14ac:dyDescent="0.25">
      <c r="AH45" s="6" t="s">
        <v>48</v>
      </c>
      <c r="AI45" s="6" t="s">
        <v>16</v>
      </c>
      <c r="AJ45" s="6">
        <v>29201085.646930002</v>
      </c>
      <c r="AK45" s="6">
        <v>33416224.198187798</v>
      </c>
      <c r="AL45" s="6">
        <v>38156308.005657598</v>
      </c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</row>
    <row r="46" spans="22:76" x14ac:dyDescent="0.25">
      <c r="AH46" s="6" t="s">
        <v>48</v>
      </c>
      <c r="AI46" s="6" t="s">
        <v>17</v>
      </c>
      <c r="AJ46" s="6">
        <v>29142796.791074101</v>
      </c>
      <c r="AK46" s="6">
        <v>33313922.843511902</v>
      </c>
      <c r="AL46" s="6">
        <v>38067454.043025002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22:76" x14ac:dyDescent="0.25">
      <c r="AH47" s="6" t="s">
        <v>48</v>
      </c>
      <c r="AI47" s="6" t="s">
        <v>18</v>
      </c>
      <c r="AJ47" s="6">
        <v>28984690.8134101</v>
      </c>
      <c r="AK47" s="6">
        <v>33114954.231045399</v>
      </c>
      <c r="AL47" s="6">
        <v>37899088.388497002</v>
      </c>
      <c r="BK47" s="3"/>
      <c r="BL47" s="3"/>
    </row>
    <row r="48" spans="22:76" x14ac:dyDescent="0.25">
      <c r="AH48" s="6" t="s">
        <v>48</v>
      </c>
      <c r="AI48" s="6" t="s">
        <v>19</v>
      </c>
      <c r="AJ48" s="6">
        <v>28826584.835746098</v>
      </c>
      <c r="AK48" s="6">
        <v>32943312.006471898</v>
      </c>
      <c r="AL48" s="6">
        <v>37730722.733969003</v>
      </c>
      <c r="BK48" s="3"/>
      <c r="BL48" s="3"/>
    </row>
    <row r="49" spans="22:64" x14ac:dyDescent="0.25">
      <c r="AH49" s="6" t="s">
        <v>48</v>
      </c>
      <c r="AI49" s="6" t="s">
        <v>20</v>
      </c>
      <c r="AJ49" s="6">
        <v>28510372.880418099</v>
      </c>
      <c r="AK49" s="6">
        <v>32599815.664583899</v>
      </c>
      <c r="AL49" s="6">
        <v>37393991.4249129</v>
      </c>
      <c r="BK49" s="3"/>
      <c r="BL49" s="3"/>
    </row>
    <row r="50" spans="22:64" x14ac:dyDescent="0.25">
      <c r="AH50" s="6" t="s">
        <v>48</v>
      </c>
      <c r="AI50" s="6" t="s">
        <v>21</v>
      </c>
      <c r="AJ50" s="6">
        <v>28119239.0779921</v>
      </c>
      <c r="AK50" s="6">
        <v>32150593.273435</v>
      </c>
      <c r="AL50" s="6">
        <v>37021042.776846901</v>
      </c>
      <c r="BK50" s="3"/>
      <c r="BL50" s="3"/>
    </row>
    <row r="51" spans="22:64" x14ac:dyDescent="0.25">
      <c r="AH51" s="6" t="s">
        <v>48</v>
      </c>
      <c r="AI51" s="6" t="s">
        <v>22</v>
      </c>
      <c r="AJ51" s="6">
        <v>27570430.429953299</v>
      </c>
      <c r="AK51" s="6">
        <v>31525776.607215099</v>
      </c>
      <c r="AL51" s="6">
        <v>36497922.902907297</v>
      </c>
      <c r="BK51" s="3"/>
      <c r="BL51" s="3"/>
    </row>
    <row r="52" spans="22:64" x14ac:dyDescent="0.25">
      <c r="AH52" s="6" t="s">
        <v>48</v>
      </c>
      <c r="AI52" s="6" t="s">
        <v>23</v>
      </c>
      <c r="AJ52" s="6">
        <v>27094777.6689936</v>
      </c>
      <c r="AK52" s="6">
        <v>31004601.586975299</v>
      </c>
      <c r="AL52" s="6">
        <v>36053334.355866298</v>
      </c>
      <c r="BK52" s="3"/>
      <c r="BL52" s="3"/>
    </row>
    <row r="53" spans="22:64" x14ac:dyDescent="0.25">
      <c r="AH53" s="6" t="s">
        <v>48</v>
      </c>
      <c r="AI53" s="6" t="s">
        <v>44</v>
      </c>
      <c r="AJ53" s="6">
        <v>26584678.4391266</v>
      </c>
      <c r="AK53" s="6">
        <v>30468925.1684331</v>
      </c>
      <c r="AL53" s="6">
        <v>35587821.028899796</v>
      </c>
      <c r="BK53" s="3"/>
      <c r="BL53" s="3"/>
    </row>
    <row r="54" spans="22:64" x14ac:dyDescent="0.25">
      <c r="BK54" s="3"/>
      <c r="BL54" s="3"/>
    </row>
    <row r="55" spans="22:64" x14ac:dyDescent="0.25">
      <c r="BK55" s="3"/>
      <c r="BL55" s="3"/>
    </row>
    <row r="56" spans="22:64" x14ac:dyDescent="0.25">
      <c r="BK56" s="3"/>
      <c r="BL56" s="3"/>
    </row>
    <row r="57" spans="22:64" x14ac:dyDescent="0.25">
      <c r="V57" t="s">
        <v>29</v>
      </c>
      <c r="BK57" s="3"/>
      <c r="BL57" s="3"/>
    </row>
    <row r="58" spans="22:64" x14ac:dyDescent="0.25">
      <c r="BK58" s="3"/>
      <c r="BL58" s="3"/>
    </row>
    <row r="59" spans="22:64" x14ac:dyDescent="0.25">
      <c r="BK59" s="3"/>
      <c r="BL59" s="3"/>
    </row>
    <row r="60" spans="22:64" ht="23.25" x14ac:dyDescent="0.35">
      <c r="Z60" s="1"/>
      <c r="BK60" s="3"/>
      <c r="BL60" s="3"/>
    </row>
    <row r="61" spans="22:64" x14ac:dyDescent="0.25">
      <c r="BK61" s="3"/>
      <c r="BL61" s="3"/>
    </row>
    <row r="62" spans="22:64" x14ac:dyDescent="0.25">
      <c r="BK62" s="3"/>
      <c r="BL62" s="3"/>
    </row>
    <row r="63" spans="22:64" x14ac:dyDescent="0.25">
      <c r="BK63" s="3"/>
      <c r="BL63" s="3"/>
    </row>
    <row r="64" spans="22:64" x14ac:dyDescent="0.25">
      <c r="BK64" s="3"/>
      <c r="BL64" s="3"/>
    </row>
    <row r="65" spans="36:71" x14ac:dyDescent="0.25">
      <c r="BK65" s="3"/>
      <c r="BL65" s="3"/>
    </row>
    <row r="66" spans="36:71" x14ac:dyDescent="0.25">
      <c r="AJ66" s="34" t="s">
        <v>50</v>
      </c>
      <c r="AK66" s="34"/>
      <c r="AL66" s="34"/>
      <c r="AM66" s="34"/>
      <c r="AN66" s="34"/>
      <c r="AO66" s="34"/>
      <c r="AP66" s="34"/>
      <c r="BK66" s="3"/>
      <c r="BL66" s="3"/>
    </row>
    <row r="75" spans="36:71" x14ac:dyDescent="0.25">
      <c r="BF75" s="33" t="s">
        <v>49</v>
      </c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</row>
    <row r="76" spans="36:71" x14ac:dyDescent="0.25">
      <c r="BF76" s="5"/>
      <c r="BG76" s="5"/>
      <c r="BH76" s="5" t="s">
        <v>12</v>
      </c>
      <c r="BI76" s="5" t="s">
        <v>13</v>
      </c>
      <c r="BJ76" s="5" t="s">
        <v>14</v>
      </c>
      <c r="BK76" s="5" t="s">
        <v>15</v>
      </c>
      <c r="BL76" s="5" t="s">
        <v>16</v>
      </c>
      <c r="BM76" s="5" t="s">
        <v>17</v>
      </c>
      <c r="BN76" s="5" t="s">
        <v>18</v>
      </c>
      <c r="BO76" s="5" t="s">
        <v>19</v>
      </c>
      <c r="BP76" s="5" t="s">
        <v>20</v>
      </c>
      <c r="BQ76" s="5" t="s">
        <v>21</v>
      </c>
      <c r="BR76" s="5" t="s">
        <v>22</v>
      </c>
      <c r="BS76" s="5" t="s">
        <v>23</v>
      </c>
    </row>
    <row r="77" spans="36:71" x14ac:dyDescent="0.25">
      <c r="BF77" s="5" t="s">
        <v>25</v>
      </c>
      <c r="BG77" s="5" t="s">
        <v>9</v>
      </c>
      <c r="BH77" s="5">
        <v>22026789.267604399</v>
      </c>
      <c r="BI77" s="5">
        <v>22054182.806998901</v>
      </c>
      <c r="BJ77" s="5">
        <v>22065870.850501899</v>
      </c>
      <c r="BK77" s="5">
        <v>22102906.654945701</v>
      </c>
      <c r="BL77" s="5">
        <v>21908974.151508201</v>
      </c>
      <c r="BM77" s="5">
        <v>21727247.084725101</v>
      </c>
      <c r="BN77" s="5">
        <v>21488617.9530451</v>
      </c>
      <c r="BO77" s="5">
        <v>21249825.1206288</v>
      </c>
      <c r="BP77" s="5">
        <v>20898126.743727699</v>
      </c>
      <c r="BQ77" s="5">
        <v>20562105.1874718</v>
      </c>
      <c r="BR77" s="5">
        <v>20226083.6312158</v>
      </c>
      <c r="BS77" s="5">
        <v>19822857.763708699</v>
      </c>
    </row>
    <row r="78" spans="36:71" x14ac:dyDescent="0.25">
      <c r="BF78" s="5" t="s">
        <v>25</v>
      </c>
      <c r="BG78" s="5" t="s">
        <v>10</v>
      </c>
      <c r="BH78" s="5">
        <v>25469993.761509299</v>
      </c>
      <c r="BI78" s="5">
        <v>25415977.529877599</v>
      </c>
      <c r="BJ78" s="5">
        <v>25364188.973704699</v>
      </c>
      <c r="BK78" s="5">
        <v>25283482.839423299</v>
      </c>
      <c r="BL78" s="5">
        <v>24991596.348136801</v>
      </c>
      <c r="BM78" s="5">
        <v>24739193.356205098</v>
      </c>
      <c r="BN78" s="5">
        <v>24467684.488525301</v>
      </c>
      <c r="BO78" s="5">
        <v>24212333.0746089</v>
      </c>
      <c r="BP78" s="5">
        <v>23812291.717715099</v>
      </c>
      <c r="BQ78" s="5">
        <v>23427927.181466602</v>
      </c>
      <c r="BR78" s="5">
        <v>23043562.645218</v>
      </c>
      <c r="BS78" s="5">
        <v>22582325.201719701</v>
      </c>
    </row>
    <row r="79" spans="36:71" x14ac:dyDescent="0.25">
      <c r="BF79" s="5" t="s">
        <v>25</v>
      </c>
      <c r="BG79" s="5" t="s">
        <v>11</v>
      </c>
      <c r="BH79" s="5">
        <v>28917188.730918098</v>
      </c>
      <c r="BI79" s="5">
        <v>28893936.718333799</v>
      </c>
      <c r="BJ79" s="5">
        <v>28857943.794199299</v>
      </c>
      <c r="BK79" s="5">
        <v>28808828.923994899</v>
      </c>
      <c r="BL79" s="5">
        <v>28505252.5548383</v>
      </c>
      <c r="BM79" s="5">
        <v>28241159.6850366</v>
      </c>
      <c r="BN79" s="5">
        <v>27982587.1525281</v>
      </c>
      <c r="BO79" s="5">
        <v>27740172.0737832</v>
      </c>
      <c r="BP79" s="5">
        <v>27404812.3927464</v>
      </c>
      <c r="BQ79" s="5">
        <v>27085129.532354798</v>
      </c>
      <c r="BR79" s="5">
        <v>26765446.6719632</v>
      </c>
      <c r="BS79" s="5">
        <v>26381827.239493299</v>
      </c>
    </row>
    <row r="80" spans="36:71" x14ac:dyDescent="0.25">
      <c r="BF80" s="5" t="s">
        <v>26</v>
      </c>
      <c r="BG80" s="5" t="s">
        <v>9</v>
      </c>
      <c r="BH80" s="5">
        <v>22026789.267604399</v>
      </c>
      <c r="BI80" s="5">
        <v>22058150.426998898</v>
      </c>
      <c r="BJ80" s="5">
        <v>22073061.040846702</v>
      </c>
      <c r="BK80" s="5">
        <v>22113975.703834601</v>
      </c>
      <c r="BL80" s="5">
        <v>21940649.727508198</v>
      </c>
      <c r="BM80" s="5">
        <v>21777236.1247251</v>
      </c>
      <c r="BN80" s="5">
        <v>21557776.393045101</v>
      </c>
      <c r="BO80" s="5">
        <v>21338316.661365099</v>
      </c>
      <c r="BP80" s="5">
        <v>21026547.822437402</v>
      </c>
      <c r="BQ80" s="5">
        <v>20692050.614568599</v>
      </c>
      <c r="BR80" s="5">
        <v>20319684.374441601</v>
      </c>
      <c r="BS80" s="5">
        <v>19822857.763708699</v>
      </c>
    </row>
    <row r="81" spans="58:71" x14ac:dyDescent="0.25">
      <c r="BF81" s="5" t="s">
        <v>26</v>
      </c>
      <c r="BG81" s="5" t="s">
        <v>10</v>
      </c>
      <c r="BH81" s="5">
        <v>25469993.761509299</v>
      </c>
      <c r="BI81" s="5">
        <v>25423302.071813099</v>
      </c>
      <c r="BJ81" s="5">
        <v>25377885.1001563</v>
      </c>
      <c r="BK81" s="5">
        <v>25307063.2626491</v>
      </c>
      <c r="BL81" s="5">
        <v>25037187.786846399</v>
      </c>
      <c r="BM81" s="5">
        <v>24801860.372979298</v>
      </c>
      <c r="BN81" s="5">
        <v>24544289.226589799</v>
      </c>
      <c r="BO81" s="5">
        <v>24301360.772673398</v>
      </c>
      <c r="BP81" s="5">
        <v>23940712.796424799</v>
      </c>
      <c r="BQ81" s="5">
        <v>23557872.608563401</v>
      </c>
      <c r="BR81" s="5">
        <v>23137163.388443802</v>
      </c>
      <c r="BS81" s="5">
        <v>22582325.201719701</v>
      </c>
    </row>
    <row r="82" spans="58:71" x14ac:dyDescent="0.25">
      <c r="BF82" s="5" t="s">
        <v>26</v>
      </c>
      <c r="BG82" s="5" t="s">
        <v>11</v>
      </c>
      <c r="BH82" s="5">
        <v>28917188.730918098</v>
      </c>
      <c r="BI82" s="5">
        <v>28901261.260269299</v>
      </c>
      <c r="BJ82" s="5">
        <v>28871639.920650899</v>
      </c>
      <c r="BK82" s="5">
        <v>28832409.3472207</v>
      </c>
      <c r="BL82" s="5">
        <v>28550843.993547998</v>
      </c>
      <c r="BM82" s="5">
        <v>28303826.7018108</v>
      </c>
      <c r="BN82" s="5">
        <v>28059191.890592702</v>
      </c>
      <c r="BO82" s="5">
        <v>27829199.771847699</v>
      </c>
      <c r="BP82" s="5">
        <v>27533233.471456099</v>
      </c>
      <c r="BQ82" s="5">
        <v>27215074.959451601</v>
      </c>
      <c r="BR82" s="5">
        <v>26859047.415189002</v>
      </c>
      <c r="BS82" s="5">
        <v>26381827.239493299</v>
      </c>
    </row>
    <row r="83" spans="58:71" x14ac:dyDescent="0.25">
      <c r="BF83" s="5" t="s">
        <v>27</v>
      </c>
      <c r="BG83" s="5" t="s">
        <v>9</v>
      </c>
      <c r="BH83" s="5">
        <v>22026789.267604399</v>
      </c>
      <c r="BI83" s="5">
        <v>22060134.236998901</v>
      </c>
      <c r="BJ83" s="5">
        <v>22076656.1360191</v>
      </c>
      <c r="BK83" s="5">
        <v>22119510.228278998</v>
      </c>
      <c r="BL83" s="5">
        <v>21956487.515508201</v>
      </c>
      <c r="BM83" s="5">
        <v>21802230.644725099</v>
      </c>
      <c r="BN83" s="5">
        <v>21592355.6130451</v>
      </c>
      <c r="BO83" s="5">
        <v>21382480.581365101</v>
      </c>
      <c r="BP83" s="5">
        <v>21090758.361792199</v>
      </c>
      <c r="BQ83" s="5">
        <v>20757023.328116901</v>
      </c>
      <c r="BR83" s="5">
        <v>20366484.7460545</v>
      </c>
      <c r="BS83" s="5">
        <v>19822857.763708699</v>
      </c>
    </row>
    <row r="84" spans="58:71" x14ac:dyDescent="0.25">
      <c r="BF84" s="5" t="s">
        <v>27</v>
      </c>
      <c r="BG84" s="5" t="s">
        <v>10</v>
      </c>
      <c r="BH84" s="5">
        <v>25469993.761509299</v>
      </c>
      <c r="BI84" s="5">
        <v>25426964.342780899</v>
      </c>
      <c r="BJ84" s="5">
        <v>25384733.163382102</v>
      </c>
      <c r="BK84" s="5">
        <v>25318853.474261999</v>
      </c>
      <c r="BL84" s="5">
        <v>25059983.506201301</v>
      </c>
      <c r="BM84" s="5">
        <v>24833193.881366398</v>
      </c>
      <c r="BN84" s="5">
        <v>24582591.5956221</v>
      </c>
      <c r="BO84" s="5">
        <v>24345874.6217057</v>
      </c>
      <c r="BP84" s="5">
        <v>24004923.3357797</v>
      </c>
      <c r="BQ84" s="5">
        <v>23622845.3221117</v>
      </c>
      <c r="BR84" s="5">
        <v>23183963.760056701</v>
      </c>
      <c r="BS84" s="5">
        <v>22582325.201719701</v>
      </c>
    </row>
    <row r="85" spans="58:71" x14ac:dyDescent="0.25">
      <c r="BF85" s="5" t="s">
        <v>27</v>
      </c>
      <c r="BG85" s="5" t="s">
        <v>11</v>
      </c>
      <c r="BH85" s="5">
        <v>28917188.730918098</v>
      </c>
      <c r="BI85" s="5">
        <v>28904923.531236999</v>
      </c>
      <c r="BJ85" s="5">
        <v>28878487.983876701</v>
      </c>
      <c r="BK85" s="5">
        <v>28844199.558833599</v>
      </c>
      <c r="BL85" s="5">
        <v>28573639.7129029</v>
      </c>
      <c r="BM85" s="5">
        <v>28335160.210197899</v>
      </c>
      <c r="BN85" s="5">
        <v>28097494.259624898</v>
      </c>
      <c r="BO85" s="5">
        <v>27873713.6208799</v>
      </c>
      <c r="BP85" s="5">
        <v>27597444.0108109</v>
      </c>
      <c r="BQ85" s="5">
        <v>27280047.673</v>
      </c>
      <c r="BR85" s="5">
        <v>26905847.786801901</v>
      </c>
      <c r="BS85" s="5">
        <v>26381827.239493299</v>
      </c>
    </row>
    <row r="86" spans="58:71" x14ac:dyDescent="0.25">
      <c r="BF86" s="5" t="s">
        <v>28</v>
      </c>
      <c r="BG86" s="5" t="s">
        <v>9</v>
      </c>
      <c r="BH86" s="5">
        <v>22026789.267604399</v>
      </c>
      <c r="BI86" s="5">
        <v>22062118.046998899</v>
      </c>
      <c r="BJ86" s="5">
        <v>22080251.231191501</v>
      </c>
      <c r="BK86" s="5">
        <v>22125044.7527234</v>
      </c>
      <c r="BL86" s="5">
        <v>21972325.3035082</v>
      </c>
      <c r="BM86" s="5">
        <v>21827225.164725099</v>
      </c>
      <c r="BN86" s="5">
        <v>21626934.833045099</v>
      </c>
      <c r="BO86" s="5">
        <v>21426644.501365099</v>
      </c>
      <c r="BP86" s="5">
        <v>21154968.901147101</v>
      </c>
      <c r="BQ86" s="5">
        <v>20821996.041665301</v>
      </c>
      <c r="BR86" s="5">
        <v>20413285.1176675</v>
      </c>
      <c r="BS86" s="5">
        <v>19822857.763708699</v>
      </c>
    </row>
    <row r="87" spans="58:71" x14ac:dyDescent="0.25">
      <c r="BF87" s="5" t="s">
        <v>28</v>
      </c>
      <c r="BG87" s="5" t="s">
        <v>10</v>
      </c>
      <c r="BH87" s="5">
        <v>25469993.761509299</v>
      </c>
      <c r="BI87" s="5">
        <v>25430626.613748599</v>
      </c>
      <c r="BJ87" s="5">
        <v>25391581.2266079</v>
      </c>
      <c r="BK87" s="5">
        <v>25330643.685874902</v>
      </c>
      <c r="BL87" s="5">
        <v>25082779.225556102</v>
      </c>
      <c r="BM87" s="5">
        <v>24864527.389753498</v>
      </c>
      <c r="BN87" s="5">
        <v>24620893.9646543</v>
      </c>
      <c r="BO87" s="5">
        <v>24390388.470737901</v>
      </c>
      <c r="BP87" s="5">
        <v>24069133.875134502</v>
      </c>
      <c r="BQ87" s="5">
        <v>23687818.035660099</v>
      </c>
      <c r="BR87" s="5">
        <v>23230764.1316696</v>
      </c>
      <c r="BS87" s="5">
        <v>22582325.201719701</v>
      </c>
    </row>
    <row r="88" spans="58:71" x14ac:dyDescent="0.25">
      <c r="BF88" s="5" t="s">
        <v>28</v>
      </c>
      <c r="BG88" s="5" t="s">
        <v>11</v>
      </c>
      <c r="BH88" s="5">
        <v>28917188.730918098</v>
      </c>
      <c r="BI88" s="5">
        <v>28908585.802204698</v>
      </c>
      <c r="BJ88" s="5">
        <v>28885336.0471026</v>
      </c>
      <c r="BK88" s="5">
        <v>28855989.770446502</v>
      </c>
      <c r="BL88" s="5">
        <v>28596435.432257701</v>
      </c>
      <c r="BM88" s="5">
        <v>28366493.718584999</v>
      </c>
      <c r="BN88" s="5">
        <v>28135796.628657199</v>
      </c>
      <c r="BO88" s="5">
        <v>27918227.469912201</v>
      </c>
      <c r="BP88" s="5">
        <v>27661654.550165702</v>
      </c>
      <c r="BQ88" s="5">
        <v>27345020.386548299</v>
      </c>
      <c r="BR88" s="5">
        <v>26952648.1584148</v>
      </c>
      <c r="BS88" s="5">
        <v>26381827.239493299</v>
      </c>
    </row>
  </sheetData>
  <mergeCells count="12">
    <mergeCell ref="BF75:BS75"/>
    <mergeCell ref="A3:G3"/>
    <mergeCell ref="H3:N3"/>
    <mergeCell ref="O3:U3"/>
    <mergeCell ref="AH25:AL25"/>
    <mergeCell ref="BK45:BX45"/>
    <mergeCell ref="A1:U1"/>
    <mergeCell ref="A2:G2"/>
    <mergeCell ref="H2:N2"/>
    <mergeCell ref="O2:U2"/>
    <mergeCell ref="AI2:AV2"/>
    <mergeCell ref="BC2:BP2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5"/>
  <sheetViews>
    <sheetView tabSelected="1" topLeftCell="C28" zoomScale="80" zoomScaleNormal="80" workbookViewId="0">
      <selection activeCell="X29" sqref="X29"/>
    </sheetView>
  </sheetViews>
  <sheetFormatPr defaultRowHeight="15" x14ac:dyDescent="0.25"/>
  <cols>
    <col min="34" max="34" width="15.7109375" customWidth="1"/>
    <col min="60" max="60" width="13.5703125" bestFit="1" customWidth="1"/>
    <col min="68" max="68" width="10.140625" bestFit="1" customWidth="1"/>
  </cols>
  <sheetData>
    <row r="1" spans="1:72" ht="27.95" customHeight="1" x14ac:dyDescent="0.3">
      <c r="A1" s="22" t="s">
        <v>57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</row>
    <row r="2" spans="1:72" s="26" customFormat="1" ht="27.95" customHeight="1" x14ac:dyDescent="0.3">
      <c r="A2" s="44"/>
      <c r="B2" s="44"/>
      <c r="C2" s="44"/>
      <c r="D2" s="44"/>
      <c r="E2" s="44"/>
      <c r="F2" s="44"/>
      <c r="G2" s="44"/>
      <c r="H2" s="48" t="s">
        <v>56</v>
      </c>
      <c r="I2" s="36"/>
      <c r="J2" s="36"/>
      <c r="K2" s="36"/>
      <c r="L2" s="36"/>
      <c r="M2" s="36"/>
      <c r="N2" s="37"/>
      <c r="O2" s="24" t="s">
        <v>51</v>
      </c>
      <c r="P2" s="24"/>
      <c r="Q2" s="24"/>
      <c r="R2" s="24"/>
      <c r="S2" s="24"/>
      <c r="T2" s="24"/>
      <c r="U2" s="24"/>
      <c r="V2" s="25"/>
      <c r="W2" s="25"/>
      <c r="X2" s="25"/>
      <c r="Y2" s="25"/>
      <c r="Z2" s="25"/>
      <c r="AA2" s="25"/>
      <c r="AB2" s="25"/>
      <c r="AH2" s="52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2"/>
      <c r="AX2" s="52"/>
      <c r="AY2" s="52"/>
      <c r="AZ2" s="52"/>
      <c r="BA2" s="52"/>
      <c r="BB2" s="52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2"/>
      <c r="BR2" s="52"/>
      <c r="BS2" s="52"/>
      <c r="BT2" s="52"/>
    </row>
    <row r="3" spans="1:72" ht="15.6" customHeight="1" x14ac:dyDescent="0.3">
      <c r="A3" s="45"/>
      <c r="B3" s="45"/>
      <c r="C3" s="45"/>
      <c r="D3" s="45"/>
      <c r="E3" s="45"/>
      <c r="F3" s="45"/>
      <c r="G3" s="45"/>
      <c r="H3" s="49" t="s">
        <v>3</v>
      </c>
      <c r="I3" s="49"/>
      <c r="J3" s="49"/>
      <c r="K3" s="49"/>
      <c r="L3" s="49"/>
      <c r="M3" s="49"/>
      <c r="N3" s="50"/>
      <c r="O3" s="28" t="s">
        <v>43</v>
      </c>
      <c r="P3" s="28"/>
      <c r="Q3" s="28"/>
      <c r="R3" s="28"/>
      <c r="S3" s="28"/>
      <c r="T3" s="28"/>
      <c r="U3" s="28"/>
      <c r="V3" s="25"/>
      <c r="W3" s="25"/>
      <c r="X3" s="25"/>
      <c r="Y3" s="25"/>
      <c r="Z3" s="25"/>
      <c r="AA3" s="25"/>
      <c r="AB3" s="25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</row>
    <row r="4" spans="1:72" x14ac:dyDescent="0.25">
      <c r="A4" s="46"/>
      <c r="B4" s="46"/>
      <c r="C4" s="46"/>
      <c r="D4" s="46"/>
      <c r="E4" s="46"/>
      <c r="F4" s="46"/>
      <c r="G4" s="46"/>
      <c r="J4" t="s">
        <v>4</v>
      </c>
      <c r="K4" t="s">
        <v>5</v>
      </c>
      <c r="L4" t="s">
        <v>6</v>
      </c>
      <c r="Q4" t="s">
        <v>4</v>
      </c>
      <c r="R4" t="s">
        <v>5</v>
      </c>
      <c r="S4" t="s">
        <v>6</v>
      </c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</row>
    <row r="5" spans="1:72" x14ac:dyDescent="0.25">
      <c r="A5" s="46"/>
      <c r="B5" s="46"/>
      <c r="C5" s="46"/>
      <c r="D5" s="46"/>
      <c r="E5" s="46"/>
      <c r="F5" s="46"/>
      <c r="G5" s="46"/>
      <c r="H5" t="s">
        <v>7</v>
      </c>
      <c r="I5" t="s">
        <v>8</v>
      </c>
      <c r="J5" t="s">
        <v>9</v>
      </c>
      <c r="K5" t="s">
        <v>10</v>
      </c>
      <c r="L5" t="s">
        <v>11</v>
      </c>
      <c r="O5" t="s">
        <v>7</v>
      </c>
      <c r="P5" t="s">
        <v>8</v>
      </c>
      <c r="Q5" t="s">
        <v>9</v>
      </c>
      <c r="R5" t="s">
        <v>10</v>
      </c>
      <c r="S5" t="s">
        <v>11</v>
      </c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</row>
    <row r="6" spans="1:72" x14ac:dyDescent="0.25">
      <c r="A6" s="46"/>
      <c r="B6" s="46"/>
      <c r="C6" s="46"/>
      <c r="D6" s="46"/>
      <c r="E6" s="46"/>
      <c r="F6" s="46"/>
      <c r="G6" s="46"/>
      <c r="H6" t="s">
        <v>12</v>
      </c>
      <c r="I6">
        <v>0</v>
      </c>
      <c r="J6" s="47">
        <f>AJ41/1000000</f>
        <v>29.713165513489297</v>
      </c>
      <c r="K6" s="47">
        <f t="shared" ref="K6:L18" si="0">AK41/1000000</f>
        <v>34.359425453157094</v>
      </c>
      <c r="L6" s="47">
        <f t="shared" si="0"/>
        <v>39.021528567310305</v>
      </c>
      <c r="O6" t="s">
        <v>12</v>
      </c>
      <c r="P6">
        <v>0</v>
      </c>
      <c r="Q6" s="47">
        <f>AJ28/1000000</f>
        <v>29.713165513489297</v>
      </c>
      <c r="R6" s="47">
        <f>AK28/1000000</f>
        <v>34.359425453157094</v>
      </c>
      <c r="S6" s="47">
        <f>AL28/1000000</f>
        <v>39.021528567310305</v>
      </c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</row>
    <row r="7" spans="1:72" x14ac:dyDescent="0.25">
      <c r="A7" s="46"/>
      <c r="B7" s="46"/>
      <c r="C7" s="46"/>
      <c r="D7" s="46"/>
      <c r="E7" s="46"/>
      <c r="F7" s="46"/>
      <c r="G7" s="46"/>
      <c r="H7" t="s">
        <v>13</v>
      </c>
      <c r="I7">
        <v>1</v>
      </c>
      <c r="J7" s="47">
        <f t="shared" ref="J7:J18" si="1">AJ42/1000000</f>
        <v>29.286101504073301</v>
      </c>
      <c r="K7" s="47">
        <f t="shared" si="0"/>
        <v>33.561447574217794</v>
      </c>
      <c r="L7" s="47">
        <f t="shared" si="0"/>
        <v>38.246871343338803</v>
      </c>
      <c r="O7" t="s">
        <v>13</v>
      </c>
      <c r="P7">
        <v>1</v>
      </c>
      <c r="Q7" s="47">
        <f>AJ29/1000000</f>
        <v>29.1778205154468</v>
      </c>
      <c r="R7" s="47">
        <f>AK29/1000000</f>
        <v>33.513158276519</v>
      </c>
      <c r="S7" s="47">
        <f>AL29/1000000</f>
        <v>38.122046045326798</v>
      </c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</row>
    <row r="8" spans="1:72" x14ac:dyDescent="0.25">
      <c r="A8" s="46"/>
      <c r="B8" s="46"/>
      <c r="C8" s="46"/>
      <c r="D8" s="46"/>
      <c r="E8" s="46"/>
      <c r="F8" s="46"/>
      <c r="G8" s="46"/>
      <c r="H8" t="s">
        <v>14</v>
      </c>
      <c r="I8">
        <v>2</v>
      </c>
      <c r="J8" s="47">
        <f t="shared" si="1"/>
        <v>29.277536681335597</v>
      </c>
      <c r="K8" s="47">
        <f t="shared" si="0"/>
        <v>33.543585963474797</v>
      </c>
      <c r="L8" s="47">
        <f t="shared" si="0"/>
        <v>38.2446653192372</v>
      </c>
      <c r="O8" t="s">
        <v>14</v>
      </c>
      <c r="P8">
        <v>2</v>
      </c>
      <c r="Q8" s="47">
        <f>AJ30/1000000</f>
        <v>29.1692556927091</v>
      </c>
      <c r="R8" s="47">
        <f>AK30/1000000</f>
        <v>33.495296665776003</v>
      </c>
      <c r="S8" s="47">
        <f>AL30/1000000</f>
        <v>38.119840021225201</v>
      </c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</row>
    <row r="9" spans="1:72" x14ac:dyDescent="0.25">
      <c r="A9" s="46"/>
      <c r="B9" s="46"/>
      <c r="C9" s="46"/>
      <c r="D9" s="46"/>
      <c r="E9" s="46"/>
      <c r="F9" s="46"/>
      <c r="G9" s="46"/>
      <c r="H9" t="s">
        <v>15</v>
      </c>
      <c r="I9">
        <v>4</v>
      </c>
      <c r="J9" s="47">
        <f t="shared" si="1"/>
        <v>29.261217006202799</v>
      </c>
      <c r="K9" s="47">
        <f t="shared" si="0"/>
        <v>33.510398792360704</v>
      </c>
      <c r="L9" s="47">
        <f t="shared" si="0"/>
        <v>38.2419807102292</v>
      </c>
      <c r="O9" t="s">
        <v>15</v>
      </c>
      <c r="P9">
        <v>4</v>
      </c>
      <c r="Q9" s="47">
        <f>AJ31/1000000</f>
        <v>29.152936017576298</v>
      </c>
      <c r="R9" s="47">
        <f>AK31/1000000</f>
        <v>33.462109494661902</v>
      </c>
      <c r="S9" s="47">
        <f>AL31/1000000</f>
        <v>38.117155412217102</v>
      </c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</row>
    <row r="10" spans="1:72" x14ac:dyDescent="0.25">
      <c r="A10" s="46"/>
      <c r="B10" s="46"/>
      <c r="C10" s="46"/>
      <c r="D10" s="46"/>
      <c r="E10" s="46"/>
      <c r="F10" s="46"/>
      <c r="G10" s="46"/>
      <c r="H10" t="s">
        <v>16</v>
      </c>
      <c r="I10">
        <v>6</v>
      </c>
      <c r="J10" s="47">
        <f t="shared" si="1"/>
        <v>29.20108564693</v>
      </c>
      <c r="K10" s="47">
        <f t="shared" si="0"/>
        <v>33.416224198187798</v>
      </c>
      <c r="L10" s="47">
        <f t="shared" si="0"/>
        <v>38.1563080056576</v>
      </c>
      <c r="O10" t="s">
        <v>16</v>
      </c>
      <c r="P10">
        <v>6</v>
      </c>
      <c r="Q10" s="47">
        <f>AJ32/1000000</f>
        <v>29.0928046583035</v>
      </c>
      <c r="R10" s="47">
        <f>AK32/1000000</f>
        <v>33.367934900488997</v>
      </c>
      <c r="S10" s="47">
        <f>AL32/1000000</f>
        <v>38.031482707645601</v>
      </c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</row>
    <row r="11" spans="1:72" x14ac:dyDescent="0.25">
      <c r="A11" s="46"/>
      <c r="B11" s="46"/>
      <c r="C11" s="46"/>
      <c r="D11" s="46"/>
      <c r="E11" s="46"/>
      <c r="F11" s="46"/>
      <c r="G11" s="46"/>
      <c r="H11" t="s">
        <v>17</v>
      </c>
      <c r="I11">
        <v>8</v>
      </c>
      <c r="J11" s="47">
        <f t="shared" si="1"/>
        <v>29.142796791074101</v>
      </c>
      <c r="K11" s="47">
        <f t="shared" si="0"/>
        <v>33.313922843511904</v>
      </c>
      <c r="L11" s="47">
        <f t="shared" si="0"/>
        <v>38.067454043025002</v>
      </c>
      <c r="O11" t="s">
        <v>17</v>
      </c>
      <c r="P11">
        <v>8</v>
      </c>
      <c r="Q11" s="47">
        <f>AJ33/1000000</f>
        <v>29.034515802447597</v>
      </c>
      <c r="R11" s="47">
        <f>AK33/1000000</f>
        <v>33.265633545813095</v>
      </c>
      <c r="S11" s="47">
        <f>AL33/1000000</f>
        <v>37.942628745012904</v>
      </c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</row>
    <row r="12" spans="1:72" x14ac:dyDescent="0.25">
      <c r="A12" s="46"/>
      <c r="B12" s="46"/>
      <c r="C12" s="46"/>
      <c r="D12" s="46"/>
      <c r="E12" s="46"/>
      <c r="F12" s="46"/>
      <c r="G12" s="46"/>
      <c r="H12" t="s">
        <v>18</v>
      </c>
      <c r="I12">
        <v>9</v>
      </c>
      <c r="J12" s="47">
        <f t="shared" si="1"/>
        <v>28.984690813410101</v>
      </c>
      <c r="K12" s="47">
        <f t="shared" si="0"/>
        <v>33.114954231045402</v>
      </c>
      <c r="L12" s="47">
        <f t="shared" si="0"/>
        <v>37.899088388496999</v>
      </c>
      <c r="O12" t="s">
        <v>18</v>
      </c>
      <c r="P12">
        <v>9</v>
      </c>
      <c r="Q12" s="47">
        <f>AJ34/1000000</f>
        <v>28.8764098247836</v>
      </c>
      <c r="R12" s="47">
        <f>AK34/1000000</f>
        <v>33.066664933346701</v>
      </c>
      <c r="S12" s="47">
        <f>AL34/1000000</f>
        <v>37.774263090484901</v>
      </c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</row>
    <row r="13" spans="1:72" x14ac:dyDescent="0.25">
      <c r="A13" s="46"/>
      <c r="B13" s="46"/>
      <c r="C13" s="46"/>
      <c r="D13" s="46"/>
      <c r="E13" s="46"/>
      <c r="F13" s="46"/>
      <c r="G13" s="46"/>
      <c r="H13" t="s">
        <v>19</v>
      </c>
      <c r="I13">
        <v>10</v>
      </c>
      <c r="J13" s="47">
        <f t="shared" si="1"/>
        <v>28.826584835746097</v>
      </c>
      <c r="K13" s="47">
        <f t="shared" si="0"/>
        <v>32.943312006471899</v>
      </c>
      <c r="L13" s="47">
        <f t="shared" si="0"/>
        <v>37.730722733969003</v>
      </c>
      <c r="O13" t="s">
        <v>19</v>
      </c>
      <c r="P13">
        <v>10</v>
      </c>
      <c r="Q13" s="47">
        <f>AJ35/1000000</f>
        <v>28.7183038471196</v>
      </c>
      <c r="R13" s="47">
        <f>AK35/1000000</f>
        <v>32.895022708773098</v>
      </c>
      <c r="S13" s="47">
        <f>AL35/1000000</f>
        <v>37.605897435956905</v>
      </c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</row>
    <row r="14" spans="1:72" x14ac:dyDescent="0.25">
      <c r="A14" s="46"/>
      <c r="B14" s="46"/>
      <c r="C14" s="46"/>
      <c r="D14" s="46"/>
      <c r="E14" s="46"/>
      <c r="F14" s="46"/>
      <c r="G14" s="46"/>
      <c r="H14" t="s">
        <v>20</v>
      </c>
      <c r="I14">
        <v>12</v>
      </c>
      <c r="J14" s="47">
        <f t="shared" si="1"/>
        <v>28.5103728804181</v>
      </c>
      <c r="K14" s="47">
        <f t="shared" si="0"/>
        <v>32.5998156645839</v>
      </c>
      <c r="L14" s="47">
        <f t="shared" si="0"/>
        <v>37.393991424912898</v>
      </c>
      <c r="O14" t="s">
        <v>20</v>
      </c>
      <c r="P14">
        <v>12</v>
      </c>
      <c r="Q14" s="47">
        <f>AJ36/1000000</f>
        <v>28.402091891791599</v>
      </c>
      <c r="R14" s="47">
        <f>AK36/1000000</f>
        <v>32.551526366885099</v>
      </c>
      <c r="S14" s="47">
        <f>AL36/1000000</f>
        <v>37.269166126900899</v>
      </c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</row>
    <row r="15" spans="1:72" x14ac:dyDescent="0.25">
      <c r="A15" s="46"/>
      <c r="B15" s="46"/>
      <c r="C15" s="46"/>
      <c r="D15" s="46"/>
      <c r="E15" s="46"/>
      <c r="F15" s="46"/>
      <c r="G15" s="46"/>
      <c r="H15" t="s">
        <v>21</v>
      </c>
      <c r="I15">
        <v>15</v>
      </c>
      <c r="J15" s="47">
        <f t="shared" si="1"/>
        <v>28.119239077992102</v>
      </c>
      <c r="K15" s="47">
        <f t="shared" si="0"/>
        <v>32.150593273435</v>
      </c>
      <c r="L15" s="47">
        <f t="shared" si="0"/>
        <v>37.021042776846897</v>
      </c>
      <c r="O15" t="s">
        <v>21</v>
      </c>
      <c r="P15">
        <v>15</v>
      </c>
      <c r="Q15" s="47">
        <f>AJ37/1000000</f>
        <v>28.010958089365602</v>
      </c>
      <c r="R15" s="47">
        <f>AK37/1000000</f>
        <v>32.102303975736199</v>
      </c>
      <c r="S15" s="47">
        <f>AL37/1000000</f>
        <v>36.896217478834899</v>
      </c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</row>
    <row r="16" spans="1:72" x14ac:dyDescent="0.25">
      <c r="A16" s="46"/>
      <c r="B16" s="46"/>
      <c r="C16" s="46"/>
      <c r="D16" s="46"/>
      <c r="E16" s="46"/>
      <c r="F16" s="46"/>
      <c r="G16" s="46"/>
      <c r="H16" t="s">
        <v>22</v>
      </c>
      <c r="I16">
        <v>20</v>
      </c>
      <c r="J16" s="47">
        <f t="shared" si="1"/>
        <v>27.570430429953298</v>
      </c>
      <c r="K16" s="47">
        <f t="shared" si="0"/>
        <v>31.5257766072151</v>
      </c>
      <c r="L16" s="47">
        <f t="shared" si="0"/>
        <v>36.497922902907298</v>
      </c>
      <c r="O16" t="s">
        <v>22</v>
      </c>
      <c r="P16">
        <v>20</v>
      </c>
      <c r="Q16" s="47">
        <f>AJ38/1000000</f>
        <v>27.462149441326801</v>
      </c>
      <c r="R16" s="47">
        <f>AK38/1000000</f>
        <v>31.477487309516299</v>
      </c>
      <c r="S16" s="47">
        <f>AL38/1000000</f>
        <v>36.3730976048952</v>
      </c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</row>
    <row r="17" spans="1:72" x14ac:dyDescent="0.25">
      <c r="A17" s="46"/>
      <c r="B17" s="46"/>
      <c r="C17" s="46"/>
      <c r="D17" s="46"/>
      <c r="E17" s="46"/>
      <c r="F17" s="46"/>
      <c r="G17" s="46"/>
      <c r="H17" t="s">
        <v>23</v>
      </c>
      <c r="I17">
        <v>25</v>
      </c>
      <c r="J17" s="47">
        <f t="shared" si="1"/>
        <v>27.094777668993601</v>
      </c>
      <c r="K17" s="47">
        <f t="shared" si="0"/>
        <v>31.004601586975298</v>
      </c>
      <c r="L17" s="47">
        <f t="shared" si="0"/>
        <v>36.053334355866298</v>
      </c>
      <c r="O17" t="s">
        <v>23</v>
      </c>
      <c r="P17">
        <v>25</v>
      </c>
      <c r="Q17" s="47">
        <f>AJ39/1000000</f>
        <v>26.9864966803671</v>
      </c>
      <c r="R17" s="47">
        <f>AK39/1000000</f>
        <v>30.9563122892765</v>
      </c>
      <c r="S17" s="47">
        <f>AL39/1000000</f>
        <v>35.928509057854299</v>
      </c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</row>
    <row r="18" spans="1:72" x14ac:dyDescent="0.25">
      <c r="A18" s="46"/>
      <c r="B18" s="46"/>
      <c r="C18" s="46"/>
      <c r="D18" s="46"/>
      <c r="E18" s="46"/>
      <c r="F18" s="46"/>
      <c r="G18" s="46"/>
      <c r="H18" t="s">
        <v>45</v>
      </c>
      <c r="I18">
        <v>31</v>
      </c>
      <c r="J18" s="47">
        <f t="shared" si="1"/>
        <v>26.584678439126598</v>
      </c>
      <c r="K18" s="47">
        <f t="shared" si="0"/>
        <v>30.468925168433099</v>
      </c>
      <c r="L18" s="47">
        <f t="shared" si="0"/>
        <v>35.587821028899796</v>
      </c>
      <c r="O18" t="s">
        <v>45</v>
      </c>
      <c r="P18">
        <v>31</v>
      </c>
      <c r="Q18" s="47">
        <f>AJ40/1000000</f>
        <v>26.476397450500201</v>
      </c>
      <c r="R18" s="47">
        <f>AK40/1000000</f>
        <v>30.420635870734301</v>
      </c>
      <c r="S18" s="47">
        <f>AL40/1000000</f>
        <v>35.462995730887705</v>
      </c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</row>
    <row r="19" spans="1:72" x14ac:dyDescent="0.25"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</row>
    <row r="20" spans="1:72" x14ac:dyDescent="0.25"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</row>
    <row r="21" spans="1:72" x14ac:dyDescent="0.25"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</row>
    <row r="22" spans="1:72" x14ac:dyDescent="0.25"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</row>
    <row r="23" spans="1:72" x14ac:dyDescent="0.25"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</row>
    <row r="25" spans="1:72" ht="59.25" customHeight="1" x14ac:dyDescent="0.35">
      <c r="AH25" s="29" t="s">
        <v>46</v>
      </c>
      <c r="AI25" s="29"/>
      <c r="AJ25" s="29"/>
      <c r="AK25" s="29"/>
      <c r="AL25" s="29"/>
      <c r="AM25" s="30"/>
      <c r="AN25" s="30"/>
      <c r="AO25" s="30"/>
      <c r="AP25" s="30"/>
      <c r="AQ25" s="30"/>
      <c r="AR25" s="30"/>
      <c r="AS25" s="30"/>
      <c r="AT25" s="30"/>
      <c r="AU25" s="30"/>
      <c r="AV25" s="31"/>
    </row>
    <row r="26" spans="1:72" x14ac:dyDescent="0.25">
      <c r="AH26" s="6"/>
      <c r="AI26" s="6"/>
      <c r="AJ26" s="6" t="s">
        <v>9</v>
      </c>
      <c r="AK26" s="6" t="s">
        <v>10</v>
      </c>
      <c r="AL26" s="6" t="s">
        <v>11</v>
      </c>
    </row>
    <row r="27" spans="1:72" x14ac:dyDescent="0.25">
      <c r="AH27" s="6"/>
      <c r="AI27" s="6"/>
      <c r="AJ27" s="6" t="s">
        <v>28</v>
      </c>
      <c r="AK27" s="6" t="s">
        <v>28</v>
      </c>
      <c r="AL27" s="6" t="s">
        <v>28</v>
      </c>
    </row>
    <row r="28" spans="1:72" x14ac:dyDescent="0.25">
      <c r="AH28" s="6" t="s">
        <v>47</v>
      </c>
      <c r="AI28" s="6" t="s">
        <v>12</v>
      </c>
      <c r="AJ28" s="6">
        <v>29713165.513489299</v>
      </c>
      <c r="AK28" s="6">
        <v>34359425.453157097</v>
      </c>
      <c r="AL28" s="6">
        <v>39021528.567310303</v>
      </c>
    </row>
    <row r="29" spans="1:72" x14ac:dyDescent="0.25">
      <c r="AH29" s="6" t="s">
        <v>47</v>
      </c>
      <c r="AI29" s="6" t="s">
        <v>13</v>
      </c>
      <c r="AJ29" s="6">
        <v>29177820.515446801</v>
      </c>
      <c r="AK29" s="6">
        <v>33513158.276519001</v>
      </c>
      <c r="AL29" s="6">
        <v>38122046.045326799</v>
      </c>
    </row>
    <row r="30" spans="1:72" x14ac:dyDescent="0.25">
      <c r="AH30" s="6" t="s">
        <v>47</v>
      </c>
      <c r="AI30" s="6" t="s">
        <v>14</v>
      </c>
      <c r="AJ30" s="6">
        <v>29169255.6927091</v>
      </c>
      <c r="AK30" s="6">
        <v>33495296.665775999</v>
      </c>
      <c r="AL30" s="6">
        <v>38119840.021225199</v>
      </c>
    </row>
    <row r="31" spans="1:72" x14ac:dyDescent="0.25">
      <c r="AH31" s="6" t="s">
        <v>47</v>
      </c>
      <c r="AI31" s="6" t="s">
        <v>15</v>
      </c>
      <c r="AJ31" s="6">
        <v>29152936.0175763</v>
      </c>
      <c r="AK31" s="6">
        <v>33462109.494661901</v>
      </c>
      <c r="AL31" s="6">
        <v>38117155.412217103</v>
      </c>
    </row>
    <row r="32" spans="1:72" x14ac:dyDescent="0.25">
      <c r="AH32" s="6" t="s">
        <v>47</v>
      </c>
      <c r="AI32" s="6" t="s">
        <v>16</v>
      </c>
      <c r="AJ32" s="6">
        <v>29092804.658303499</v>
      </c>
      <c r="AK32" s="6">
        <v>33367934.900488999</v>
      </c>
      <c r="AL32" s="6">
        <v>38031482.707645603</v>
      </c>
    </row>
    <row r="33" spans="22:76" x14ac:dyDescent="0.25">
      <c r="AH33" s="6" t="s">
        <v>47</v>
      </c>
      <c r="AI33" s="6" t="s">
        <v>17</v>
      </c>
      <c r="AJ33" s="6">
        <v>29034515.802447598</v>
      </c>
      <c r="AK33" s="6">
        <v>33265633.545813099</v>
      </c>
      <c r="AL33" s="6">
        <v>37942628.745012902</v>
      </c>
    </row>
    <row r="34" spans="22:76" x14ac:dyDescent="0.25">
      <c r="AH34" s="6" t="s">
        <v>47</v>
      </c>
      <c r="AI34" s="6" t="s">
        <v>18</v>
      </c>
      <c r="AJ34" s="6">
        <v>28876409.824783601</v>
      </c>
      <c r="AK34" s="6">
        <v>33066664.9333467</v>
      </c>
      <c r="AL34" s="6">
        <v>37774263.090484902</v>
      </c>
    </row>
    <row r="35" spans="22:76" x14ac:dyDescent="0.25">
      <c r="AH35" s="6" t="s">
        <v>47</v>
      </c>
      <c r="AI35" s="6" t="s">
        <v>19</v>
      </c>
      <c r="AJ35" s="6">
        <v>28718303.8471196</v>
      </c>
      <c r="AK35" s="6">
        <v>32895022.708773099</v>
      </c>
      <c r="AL35" s="6">
        <v>37605897.435956903</v>
      </c>
    </row>
    <row r="36" spans="22:76" x14ac:dyDescent="0.25">
      <c r="AH36" s="6" t="s">
        <v>47</v>
      </c>
      <c r="AI36" s="6" t="s">
        <v>20</v>
      </c>
      <c r="AJ36" s="6">
        <v>28402091.891791601</v>
      </c>
      <c r="AK36" s="6">
        <v>32551526.3668851</v>
      </c>
      <c r="AL36" s="6">
        <v>37269166.126900896</v>
      </c>
    </row>
    <row r="37" spans="22:76" x14ac:dyDescent="0.25">
      <c r="AH37" s="6" t="s">
        <v>47</v>
      </c>
      <c r="AI37" s="6" t="s">
        <v>21</v>
      </c>
      <c r="AJ37" s="6">
        <v>28010958.089365602</v>
      </c>
      <c r="AK37" s="6">
        <v>32102303.975736201</v>
      </c>
      <c r="AL37" s="6">
        <v>36896217.478834897</v>
      </c>
    </row>
    <row r="38" spans="22:76" x14ac:dyDescent="0.25">
      <c r="AH38" s="6" t="s">
        <v>47</v>
      </c>
      <c r="AI38" s="6" t="s">
        <v>22</v>
      </c>
      <c r="AJ38" s="6">
        <v>27462149.441326801</v>
      </c>
      <c r="AK38" s="6">
        <v>31477487.3095163</v>
      </c>
      <c r="AL38" s="6">
        <v>36373097.604895197</v>
      </c>
    </row>
    <row r="39" spans="22:76" x14ac:dyDescent="0.25">
      <c r="AH39" s="6" t="s">
        <v>47</v>
      </c>
      <c r="AI39" s="6" t="s">
        <v>23</v>
      </c>
      <c r="AJ39" s="6">
        <v>26986496.680367101</v>
      </c>
      <c r="AK39" s="6">
        <v>30956312.289276499</v>
      </c>
      <c r="AL39" s="6">
        <v>35928509.057854302</v>
      </c>
    </row>
    <row r="40" spans="22:76" x14ac:dyDescent="0.25">
      <c r="V40" t="s">
        <v>29</v>
      </c>
      <c r="AH40" s="6" t="s">
        <v>47</v>
      </c>
      <c r="AI40" s="6" t="s">
        <v>44</v>
      </c>
      <c r="AJ40" s="6">
        <v>26476397.450500201</v>
      </c>
      <c r="AK40" s="6">
        <v>30420635.8707343</v>
      </c>
      <c r="AL40" s="6">
        <v>35462995.730887704</v>
      </c>
    </row>
    <row r="41" spans="22:76" x14ac:dyDescent="0.25">
      <c r="AH41" s="6" t="s">
        <v>48</v>
      </c>
      <c r="AI41" s="6" t="s">
        <v>12</v>
      </c>
      <c r="AJ41" s="6">
        <v>29713165.513489299</v>
      </c>
      <c r="AK41" s="6">
        <v>34359425.453157097</v>
      </c>
      <c r="AL41" s="6">
        <v>39021528.567310303</v>
      </c>
    </row>
    <row r="42" spans="22:76" x14ac:dyDescent="0.25">
      <c r="AH42" s="6" t="s">
        <v>48</v>
      </c>
      <c r="AI42" s="6" t="s">
        <v>13</v>
      </c>
      <c r="AJ42" s="6">
        <v>29286101.504073299</v>
      </c>
      <c r="AK42" s="6">
        <v>33561447.574217796</v>
      </c>
      <c r="AL42" s="6">
        <v>38246871.343338802</v>
      </c>
    </row>
    <row r="43" spans="22:76" ht="23.25" x14ac:dyDescent="0.35">
      <c r="Z43" s="1"/>
      <c r="AH43" s="6" t="s">
        <v>48</v>
      </c>
      <c r="AI43" s="6" t="s">
        <v>14</v>
      </c>
      <c r="AJ43" s="6">
        <v>29277536.681335598</v>
      </c>
      <c r="AK43" s="6">
        <v>33543585.963474799</v>
      </c>
      <c r="AL43" s="6">
        <v>38244665.319237202</v>
      </c>
    </row>
    <row r="44" spans="22:76" x14ac:dyDescent="0.25">
      <c r="AH44" s="6" t="s">
        <v>48</v>
      </c>
      <c r="AI44" s="6" t="s">
        <v>15</v>
      </c>
      <c r="AJ44" s="6">
        <v>29261217.006202798</v>
      </c>
      <c r="AK44" s="6">
        <v>33510398.792360701</v>
      </c>
      <c r="AL44" s="6">
        <v>38241980.710229203</v>
      </c>
    </row>
    <row r="45" spans="22:76" x14ac:dyDescent="0.25">
      <c r="AH45" s="6" t="s">
        <v>48</v>
      </c>
      <c r="AI45" s="6" t="s">
        <v>16</v>
      </c>
      <c r="AJ45" s="6">
        <v>29201085.646930002</v>
      </c>
      <c r="AK45" s="6">
        <v>33416224.198187798</v>
      </c>
      <c r="AL45" s="6">
        <v>38156308.005657598</v>
      </c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</row>
    <row r="46" spans="22:76" x14ac:dyDescent="0.25">
      <c r="AH46" s="6" t="s">
        <v>48</v>
      </c>
      <c r="AI46" s="6" t="s">
        <v>17</v>
      </c>
      <c r="AJ46" s="6">
        <v>29142796.791074101</v>
      </c>
      <c r="AK46" s="6">
        <v>33313922.843511902</v>
      </c>
      <c r="AL46" s="6">
        <v>38067454.043025002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22:76" x14ac:dyDescent="0.25">
      <c r="AH47" s="6" t="s">
        <v>48</v>
      </c>
      <c r="AI47" s="6" t="s">
        <v>18</v>
      </c>
      <c r="AJ47" s="6">
        <v>28984690.8134101</v>
      </c>
      <c r="AK47" s="6">
        <v>33114954.231045399</v>
      </c>
      <c r="AL47" s="6">
        <v>37899088.388497002</v>
      </c>
      <c r="BK47" s="3"/>
      <c r="BL47" s="3"/>
    </row>
    <row r="48" spans="22:76" x14ac:dyDescent="0.25">
      <c r="AH48" s="6" t="s">
        <v>48</v>
      </c>
      <c r="AI48" s="6" t="s">
        <v>19</v>
      </c>
      <c r="AJ48" s="6">
        <v>28826584.835746098</v>
      </c>
      <c r="AK48" s="6">
        <v>32943312.006471898</v>
      </c>
      <c r="AL48" s="6">
        <v>37730722.733969003</v>
      </c>
      <c r="BK48" s="3"/>
      <c r="BL48" s="3"/>
    </row>
    <row r="49" spans="34:64" x14ac:dyDescent="0.25">
      <c r="AH49" s="6" t="s">
        <v>48</v>
      </c>
      <c r="AI49" s="6" t="s">
        <v>20</v>
      </c>
      <c r="AJ49" s="6">
        <v>28510372.880418099</v>
      </c>
      <c r="AK49" s="6">
        <v>32599815.664583899</v>
      </c>
      <c r="AL49" s="6">
        <v>37393991.4249129</v>
      </c>
      <c r="BK49" s="3"/>
      <c r="BL49" s="3"/>
    </row>
    <row r="50" spans="34:64" x14ac:dyDescent="0.25">
      <c r="AH50" s="6" t="s">
        <v>48</v>
      </c>
      <c r="AI50" s="6" t="s">
        <v>21</v>
      </c>
      <c r="AJ50" s="6">
        <v>28119239.0779921</v>
      </c>
      <c r="AK50" s="6">
        <v>32150593.273435</v>
      </c>
      <c r="AL50" s="6">
        <v>37021042.776846901</v>
      </c>
      <c r="BK50" s="3"/>
      <c r="BL50" s="3"/>
    </row>
    <row r="51" spans="34:64" x14ac:dyDescent="0.25">
      <c r="AH51" s="6" t="s">
        <v>48</v>
      </c>
      <c r="AI51" s="6" t="s">
        <v>22</v>
      </c>
      <c r="AJ51" s="6">
        <v>27570430.429953299</v>
      </c>
      <c r="AK51" s="6">
        <v>31525776.607215099</v>
      </c>
      <c r="AL51" s="6">
        <v>36497922.902907297</v>
      </c>
      <c r="BK51" s="3"/>
      <c r="BL51" s="3"/>
    </row>
    <row r="52" spans="34:64" x14ac:dyDescent="0.25">
      <c r="AH52" s="6" t="s">
        <v>48</v>
      </c>
      <c r="AI52" s="6" t="s">
        <v>23</v>
      </c>
      <c r="AJ52" s="6">
        <v>27094777.6689936</v>
      </c>
      <c r="AK52" s="6">
        <v>31004601.586975299</v>
      </c>
      <c r="AL52" s="6">
        <v>36053334.355866298</v>
      </c>
      <c r="BK52" s="3"/>
      <c r="BL52" s="3"/>
    </row>
    <row r="53" spans="34:64" x14ac:dyDescent="0.25">
      <c r="AH53" s="6" t="s">
        <v>48</v>
      </c>
      <c r="AI53" s="6" t="s">
        <v>44</v>
      </c>
      <c r="AJ53" s="6">
        <v>26584678.4391266</v>
      </c>
      <c r="AK53" s="6">
        <v>30468925.1684331</v>
      </c>
      <c r="AL53" s="6">
        <v>35587821.028899796</v>
      </c>
      <c r="BK53" s="3"/>
      <c r="BL53" s="3"/>
    </row>
    <row r="54" spans="34:64" x14ac:dyDescent="0.25">
      <c r="BK54" s="3"/>
      <c r="BL54" s="3"/>
    </row>
    <row r="55" spans="34:64" x14ac:dyDescent="0.25">
      <c r="BK55" s="3"/>
      <c r="BL55" s="3"/>
    </row>
  </sheetData>
  <mergeCells count="11">
    <mergeCell ref="A3:G3"/>
    <mergeCell ref="H3:N3"/>
    <mergeCell ref="O3:U3"/>
    <mergeCell ref="AH25:AL25"/>
    <mergeCell ref="BK45:BX45"/>
    <mergeCell ref="A1:U1"/>
    <mergeCell ref="A2:G2"/>
    <mergeCell ref="H2:N2"/>
    <mergeCell ref="O2:U2"/>
    <mergeCell ref="AI2:AV2"/>
    <mergeCell ref="BC2:BP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Offset_2024Pricing</vt:lpstr>
      <vt:lpstr>Tradeoff_Control</vt:lpstr>
      <vt:lpstr>2024price_August_Compare</vt:lpstr>
      <vt:lpstr>2024Pricing_August_5to30MWh</vt:lpstr>
      <vt:lpstr>Graph_Tradeoff_2024_August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MOAZZAM ALI RIND</dc:creator>
  <cp:keywords/>
  <dc:description/>
  <cp:lastModifiedBy>Mooz</cp:lastModifiedBy>
  <cp:revision/>
  <dcterms:created xsi:type="dcterms:W3CDTF">2020-12-29T01:16:11Z</dcterms:created>
  <dcterms:modified xsi:type="dcterms:W3CDTF">2026-07-23T04:53:39Z</dcterms:modified>
  <cp:category/>
  <cp:contentStatus/>
</cp:coreProperties>
</file>