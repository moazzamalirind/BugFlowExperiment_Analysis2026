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OneDrive - Washington State University (email.wsu.edu)\Documents\GitHub\BugFlowExperiment_Analysis2026\Results_2024Pricing\Figures_Analysis\"/>
    </mc:Choice>
  </mc:AlternateContent>
  <bookViews>
    <workbookView xWindow="-57720" yWindow="-120" windowWidth="29040" windowHeight="11100" activeTab="3"/>
  </bookViews>
  <sheets>
    <sheet name="CummulativeLossesPlot-2024Price" sheetId="7" r:id="rId1"/>
    <sheet name="Compare2024to2014" sheetId="9" r:id="rId2"/>
    <sheet name="Table1-2024Prices" sheetId="6" r:id="rId3"/>
    <sheet name="Table1-2014Prices" sheetId="8"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 i="9" l="1"/>
  <c r="H42" i="9"/>
  <c r="F40" i="9"/>
  <c r="L22" i="8"/>
  <c r="E22" i="8"/>
  <c r="F22" i="8"/>
  <c r="G22" i="8"/>
  <c r="H22" i="8"/>
  <c r="I22" i="8"/>
  <c r="J22" i="8"/>
  <c r="D22" i="8"/>
  <c r="E20" i="8"/>
  <c r="F20" i="8"/>
  <c r="G20" i="8"/>
  <c r="H20" i="8"/>
  <c r="I20" i="8"/>
  <c r="J20" i="8"/>
  <c r="K20" i="8"/>
  <c r="D20" i="8"/>
  <c r="L16" i="8"/>
  <c r="E16" i="8"/>
  <c r="F16" i="8"/>
  <c r="G16" i="8"/>
  <c r="H16" i="8"/>
  <c r="I16" i="8"/>
  <c r="J16" i="8"/>
  <c r="D16" i="8"/>
  <c r="E14" i="8"/>
  <c r="F14" i="8"/>
  <c r="G14" i="8"/>
  <c r="H14" i="8"/>
  <c r="I14" i="8"/>
  <c r="J14" i="8"/>
  <c r="K14" i="8"/>
  <c r="D14" i="8"/>
  <c r="L12" i="8"/>
  <c r="E12" i="8"/>
  <c r="F12" i="8"/>
  <c r="G12" i="8"/>
  <c r="H12" i="8"/>
  <c r="I12" i="8"/>
  <c r="J12" i="8"/>
  <c r="D12" i="8"/>
  <c r="E10" i="8"/>
  <c r="F10" i="8"/>
  <c r="G10" i="8"/>
  <c r="H10" i="8"/>
  <c r="I10" i="8"/>
  <c r="J10" i="8"/>
  <c r="K10" i="8"/>
  <c r="D10" i="8"/>
  <c r="L8" i="8"/>
  <c r="E8" i="8"/>
  <c r="F8" i="8"/>
  <c r="G8" i="8"/>
  <c r="H8" i="8"/>
  <c r="I8" i="8"/>
  <c r="J8" i="8"/>
  <c r="D8" i="8"/>
  <c r="E18" i="8"/>
  <c r="F18" i="8"/>
  <c r="G18" i="8"/>
  <c r="H18" i="8"/>
  <c r="I18" i="8"/>
  <c r="J18" i="8"/>
  <c r="L18" i="8"/>
  <c r="D18" i="8"/>
  <c r="AA10" i="8"/>
  <c r="Z10" i="8"/>
  <c r="Y10" i="8"/>
  <c r="X10" i="8"/>
  <c r="W10" i="8"/>
  <c r="V10" i="8"/>
  <c r="U10" i="8"/>
  <c r="T10" i="8"/>
  <c r="S10" i="8"/>
  <c r="R10" i="8"/>
  <c r="AA9" i="8"/>
  <c r="Z9" i="8"/>
  <c r="Y9" i="8"/>
  <c r="X9" i="8"/>
  <c r="W9" i="8"/>
  <c r="V9" i="8"/>
  <c r="U9" i="8"/>
  <c r="T9" i="8"/>
  <c r="S9" i="8"/>
  <c r="R9" i="8"/>
  <c r="Z8" i="6" l="1"/>
  <c r="Y8" i="6"/>
  <c r="X8" i="6"/>
  <c r="W8" i="6"/>
  <c r="V8" i="6"/>
  <c r="U8" i="6"/>
  <c r="T8" i="6"/>
  <c r="S8" i="6"/>
  <c r="R8" i="6"/>
  <c r="Q8" i="6"/>
  <c r="D60" i="9" l="1"/>
  <c r="C60" i="9"/>
  <c r="B60" i="9"/>
  <c r="A60" i="9"/>
  <c r="D59" i="9"/>
  <c r="C59" i="9"/>
  <c r="B59" i="9"/>
  <c r="A59" i="9"/>
  <c r="D58" i="9"/>
  <c r="C58" i="9"/>
  <c r="B58" i="9"/>
  <c r="A58" i="9"/>
  <c r="D57" i="9"/>
  <c r="C57" i="9"/>
  <c r="B57" i="9"/>
  <c r="A57" i="9"/>
  <c r="D56" i="9"/>
  <c r="C56" i="9"/>
  <c r="B56" i="9"/>
  <c r="A56" i="9"/>
  <c r="D55" i="9"/>
  <c r="C55" i="9"/>
  <c r="B55" i="9"/>
  <c r="A55" i="9"/>
  <c r="D54" i="9"/>
  <c r="C54" i="9"/>
  <c r="B54" i="9"/>
  <c r="A54" i="9"/>
  <c r="D53" i="9"/>
  <c r="C53" i="9"/>
  <c r="B53" i="9"/>
  <c r="A53" i="9"/>
  <c r="D52" i="9"/>
  <c r="C52" i="9"/>
  <c r="B52" i="9"/>
  <c r="A52" i="9"/>
  <c r="F41" i="9"/>
  <c r="G41" i="9"/>
  <c r="H41" i="9"/>
  <c r="F42" i="9"/>
  <c r="G42" i="9"/>
  <c r="F43" i="9"/>
  <c r="G43" i="9"/>
  <c r="H43" i="9"/>
  <c r="F44" i="9"/>
  <c r="G44" i="9"/>
  <c r="H44" i="9"/>
  <c r="F45" i="9"/>
  <c r="G45" i="9"/>
  <c r="H45" i="9"/>
  <c r="F46" i="9"/>
  <c r="G46" i="9"/>
  <c r="H46" i="9"/>
  <c r="F47" i="9"/>
  <c r="G47" i="9"/>
  <c r="H47" i="9"/>
  <c r="G40" i="9"/>
  <c r="H40" i="9"/>
  <c r="D40" i="9"/>
  <c r="E40" i="9"/>
  <c r="C41" i="9"/>
  <c r="D41" i="9"/>
  <c r="E41" i="9"/>
  <c r="C42" i="9"/>
  <c r="D42" i="9"/>
  <c r="E42" i="9"/>
  <c r="C43" i="9"/>
  <c r="D43" i="9"/>
  <c r="E43" i="9"/>
  <c r="C44" i="9"/>
  <c r="D44" i="9"/>
  <c r="E44" i="9"/>
  <c r="C45" i="9"/>
  <c r="D45" i="9"/>
  <c r="E45" i="9"/>
  <c r="C46" i="9"/>
  <c r="D46" i="9"/>
  <c r="E46" i="9"/>
  <c r="C47" i="9"/>
  <c r="D47" i="9"/>
  <c r="E47" i="9"/>
  <c r="B46" i="9"/>
  <c r="B47" i="9"/>
  <c r="B40" i="9"/>
  <c r="B41" i="9"/>
  <c r="B42" i="9"/>
  <c r="B43" i="9"/>
  <c r="B44" i="9"/>
  <c r="B45" i="9"/>
  <c r="C39" i="9"/>
  <c r="F39" i="9" s="1"/>
  <c r="D39" i="9"/>
  <c r="G39" i="9" s="1"/>
  <c r="E39" i="9"/>
  <c r="H39" i="9" s="1"/>
  <c r="B38" i="9"/>
  <c r="C24" i="9"/>
  <c r="B24" i="9"/>
  <c r="B10" i="9"/>
  <c r="L36" i="8"/>
  <c r="K36" i="8"/>
  <c r="J36" i="8"/>
  <c r="I36" i="8"/>
  <c r="H36" i="8"/>
  <c r="G36" i="8"/>
  <c r="F36" i="8"/>
  <c r="E36" i="8"/>
  <c r="D36" i="8"/>
  <c r="C36" i="8"/>
  <c r="D18" i="9" s="1"/>
  <c r="B36" i="8"/>
  <c r="L35" i="8"/>
  <c r="K35" i="8"/>
  <c r="J35" i="8"/>
  <c r="I35" i="8"/>
  <c r="H35" i="8"/>
  <c r="G35" i="8"/>
  <c r="F35" i="8"/>
  <c r="E35" i="8"/>
  <c r="D35" i="8"/>
  <c r="C35" i="8"/>
  <c r="D17" i="9" s="1"/>
  <c r="B35" i="8"/>
  <c r="L34" i="8"/>
  <c r="K34" i="8"/>
  <c r="J34" i="8"/>
  <c r="I34" i="8"/>
  <c r="H34" i="8"/>
  <c r="G34" i="8"/>
  <c r="F34" i="8"/>
  <c r="E34" i="8"/>
  <c r="D34" i="8"/>
  <c r="C34" i="8"/>
  <c r="D16" i="9" s="1"/>
  <c r="B34" i="8"/>
  <c r="L33" i="8"/>
  <c r="K33" i="8"/>
  <c r="J33" i="8"/>
  <c r="I33" i="8"/>
  <c r="H33" i="8"/>
  <c r="G33" i="8"/>
  <c r="F33" i="8"/>
  <c r="E33" i="8"/>
  <c r="D33" i="8"/>
  <c r="C33" i="8"/>
  <c r="D15" i="9" s="1"/>
  <c r="B33" i="8"/>
  <c r="L32" i="8"/>
  <c r="K32" i="8"/>
  <c r="J32" i="8"/>
  <c r="I32" i="8"/>
  <c r="H32" i="8"/>
  <c r="G32" i="8"/>
  <c r="F32" i="8"/>
  <c r="E32" i="8"/>
  <c r="D32" i="8"/>
  <c r="C32" i="8"/>
  <c r="D14" i="9" s="1"/>
  <c r="B32" i="8"/>
  <c r="L31" i="8"/>
  <c r="K31" i="8"/>
  <c r="J31" i="8"/>
  <c r="I31" i="8"/>
  <c r="H31" i="8"/>
  <c r="G31" i="8"/>
  <c r="F31" i="8"/>
  <c r="E31" i="8"/>
  <c r="D31" i="8"/>
  <c r="C31" i="8"/>
  <c r="D13" i="9" s="1"/>
  <c r="B31" i="8"/>
  <c r="L30" i="8"/>
  <c r="K30" i="8"/>
  <c r="J30" i="8"/>
  <c r="I30" i="8"/>
  <c r="H30" i="8"/>
  <c r="G30" i="8"/>
  <c r="F30" i="8"/>
  <c r="E30" i="8"/>
  <c r="D30" i="8"/>
  <c r="C30" i="8"/>
  <c r="D12" i="9" s="1"/>
  <c r="B30" i="8"/>
  <c r="L29" i="8"/>
  <c r="K29" i="8"/>
  <c r="J29" i="8"/>
  <c r="I29" i="8"/>
  <c r="H29" i="8"/>
  <c r="G29" i="8"/>
  <c r="F29" i="8"/>
  <c r="E29" i="8"/>
  <c r="D29" i="8"/>
  <c r="C29" i="8"/>
  <c r="D11" i="9" s="1"/>
  <c r="B29" i="8"/>
  <c r="L28" i="8"/>
  <c r="K28" i="8"/>
  <c r="J28" i="8"/>
  <c r="I28" i="8"/>
  <c r="H28" i="8"/>
  <c r="G28" i="8"/>
  <c r="F28" i="8"/>
  <c r="E28" i="8"/>
  <c r="D28" i="8"/>
  <c r="D42" i="6"/>
  <c r="E42" i="6"/>
  <c r="F42" i="6"/>
  <c r="F26" i="9" s="1"/>
  <c r="G42" i="6"/>
  <c r="G26" i="9" s="1"/>
  <c r="H42" i="6"/>
  <c r="H26" i="9" s="1"/>
  <c r="I42" i="6"/>
  <c r="I26" i="9" s="1"/>
  <c r="J42" i="6"/>
  <c r="K42" i="6"/>
  <c r="L42" i="6"/>
  <c r="D43" i="6"/>
  <c r="D27" i="9" s="1"/>
  <c r="E43" i="6"/>
  <c r="E27" i="9" s="1"/>
  <c r="F43" i="6"/>
  <c r="G43" i="6"/>
  <c r="G27" i="9" s="1"/>
  <c r="H43" i="6"/>
  <c r="I43" i="6"/>
  <c r="J43" i="6"/>
  <c r="J27" i="9" s="1"/>
  <c r="K43" i="6"/>
  <c r="L43" i="6"/>
  <c r="L27" i="9" s="1"/>
  <c r="D44" i="6"/>
  <c r="E44" i="6"/>
  <c r="F44" i="6"/>
  <c r="G44" i="6"/>
  <c r="G28" i="9" s="1"/>
  <c r="H44" i="6"/>
  <c r="H28" i="9" s="1"/>
  <c r="I44" i="6"/>
  <c r="I28" i="9" s="1"/>
  <c r="J44" i="6"/>
  <c r="J28" i="9" s="1"/>
  <c r="K44" i="6"/>
  <c r="K28" i="9" s="1"/>
  <c r="L44" i="6"/>
  <c r="D45" i="6"/>
  <c r="D29" i="9" s="1"/>
  <c r="E45" i="6"/>
  <c r="E29" i="9" s="1"/>
  <c r="F45" i="6"/>
  <c r="F29" i="9" s="1"/>
  <c r="G45" i="6"/>
  <c r="H45" i="6"/>
  <c r="H29" i="9" s="1"/>
  <c r="I45" i="6"/>
  <c r="J45" i="6"/>
  <c r="K45" i="6"/>
  <c r="L45" i="6"/>
  <c r="L29" i="9" s="1"/>
  <c r="D46" i="6"/>
  <c r="D30" i="9" s="1"/>
  <c r="E46" i="6"/>
  <c r="E30" i="9" s="1"/>
  <c r="F46" i="6"/>
  <c r="G46" i="6"/>
  <c r="H46" i="6"/>
  <c r="I46" i="6"/>
  <c r="I30" i="9" s="1"/>
  <c r="J46" i="6"/>
  <c r="K46" i="6"/>
  <c r="L46" i="6"/>
  <c r="D47" i="6"/>
  <c r="E47" i="6"/>
  <c r="F47" i="6"/>
  <c r="G47" i="6"/>
  <c r="G31" i="9" s="1"/>
  <c r="H47" i="6"/>
  <c r="H31" i="9" s="1"/>
  <c r="I47" i="6"/>
  <c r="I31" i="9" s="1"/>
  <c r="J47" i="6"/>
  <c r="J31" i="9" s="1"/>
  <c r="K47" i="6"/>
  <c r="L47" i="6"/>
  <c r="D48" i="6"/>
  <c r="D32" i="9" s="1"/>
  <c r="E48" i="6"/>
  <c r="E32" i="9" s="1"/>
  <c r="F48" i="6"/>
  <c r="F32" i="9" s="1"/>
  <c r="G48" i="6"/>
  <c r="G32" i="9" s="1"/>
  <c r="H48" i="6"/>
  <c r="I48" i="6"/>
  <c r="J48" i="6"/>
  <c r="K48" i="6"/>
  <c r="L48" i="6"/>
  <c r="L32" i="9" s="1"/>
  <c r="E40" i="6"/>
  <c r="E24" i="9" s="1"/>
  <c r="F40" i="6"/>
  <c r="F24" i="9" s="1"/>
  <c r="G40" i="6"/>
  <c r="G24" i="9" s="1"/>
  <c r="H40" i="6"/>
  <c r="H24" i="9" s="1"/>
  <c r="I40" i="6"/>
  <c r="I24" i="9" s="1"/>
  <c r="J40" i="6"/>
  <c r="J24" i="9" s="1"/>
  <c r="K40" i="6"/>
  <c r="K24" i="9" s="1"/>
  <c r="L40" i="6"/>
  <c r="L24" i="9" s="1"/>
  <c r="D40" i="6"/>
  <c r="D24" i="9" s="1"/>
  <c r="E41" i="6"/>
  <c r="F41" i="6"/>
  <c r="G41" i="6"/>
  <c r="G25" i="9" s="1"/>
  <c r="H41" i="6"/>
  <c r="H25" i="9" s="1"/>
  <c r="I41" i="6"/>
  <c r="J41" i="6"/>
  <c r="K41" i="6"/>
  <c r="L41" i="6"/>
  <c r="L25" i="9" s="1"/>
  <c r="D41" i="6"/>
  <c r="D25" i="9" s="1"/>
  <c r="C42" i="6"/>
  <c r="C43" i="6"/>
  <c r="C27" i="9" s="1"/>
  <c r="C44" i="6"/>
  <c r="C28" i="9" s="1"/>
  <c r="C45" i="6"/>
  <c r="C15" i="9" s="1"/>
  <c r="C46" i="6"/>
  <c r="C16" i="9" s="1"/>
  <c r="C47" i="6"/>
  <c r="C31" i="9" s="1"/>
  <c r="C48" i="6"/>
  <c r="C32" i="9" s="1"/>
  <c r="C41" i="6"/>
  <c r="C11" i="9" s="1"/>
  <c r="B48" i="6"/>
  <c r="B32" i="9" s="1"/>
  <c r="B45" i="6"/>
  <c r="B15" i="9" s="1"/>
  <c r="B46" i="6"/>
  <c r="B16" i="9" s="1"/>
  <c r="B47" i="6"/>
  <c r="B17" i="9" s="1"/>
  <c r="B42" i="6"/>
  <c r="B26" i="9" s="1"/>
  <c r="B43" i="6"/>
  <c r="B27" i="9" s="1"/>
  <c r="B44" i="6"/>
  <c r="B28" i="9" s="1"/>
  <c r="B41" i="6"/>
  <c r="B11" i="9" s="1"/>
  <c r="H32" i="9" l="1"/>
  <c r="F31" i="9"/>
  <c r="K31" i="9"/>
  <c r="I29" i="9"/>
  <c r="G29" i="9"/>
  <c r="F27" i="9"/>
  <c r="E26" i="9"/>
  <c r="J26" i="9"/>
  <c r="E25" i="9"/>
  <c r="J25" i="9"/>
  <c r="I25" i="9"/>
  <c r="L30" i="9"/>
  <c r="F30" i="9"/>
  <c r="J30" i="9"/>
  <c r="H30" i="9"/>
  <c r="C26" i="9"/>
  <c r="J29" i="9"/>
  <c r="G30" i="9"/>
  <c r="K26" i="9"/>
  <c r="E31" i="9"/>
  <c r="I27" i="9"/>
  <c r="D31" i="9"/>
  <c r="H27" i="9"/>
  <c r="J32" i="9"/>
  <c r="F28" i="9"/>
  <c r="F25" i="9"/>
  <c r="I32" i="9"/>
  <c r="E28" i="9"/>
  <c r="E16" i="9"/>
  <c r="D28" i="9"/>
  <c r="D26" i="9"/>
  <c r="B12" i="9"/>
  <c r="C17" i="9"/>
  <c r="E17" i="9" s="1"/>
  <c r="B25" i="9"/>
  <c r="B29" i="9"/>
  <c r="C12" i="9"/>
  <c r="E12" i="9" s="1"/>
  <c r="C25" i="9"/>
  <c r="C29" i="9"/>
  <c r="B18" i="9"/>
  <c r="B30" i="9"/>
  <c r="B13" i="9"/>
  <c r="C18" i="9"/>
  <c r="E18" i="9" s="1"/>
  <c r="C30" i="9"/>
  <c r="C13" i="9"/>
  <c r="E13" i="9" s="1"/>
  <c r="B31" i="9"/>
  <c r="B14" i="9"/>
  <c r="C14" i="9"/>
  <c r="E14" i="9" s="1"/>
  <c r="E15" i="9"/>
  <c r="D19" i="9"/>
  <c r="E11" i="9"/>
  <c r="C19" i="9" l="1"/>
  <c r="E19" i="9"/>
</calcChain>
</file>

<file path=xl/sharedStrings.xml><?xml version="1.0" encoding="utf-8"?>
<sst xmlns="http://schemas.openxmlformats.org/spreadsheetml/2006/main" count="334" uniqueCount="59">
  <si>
    <t>Month</t>
  </si>
  <si>
    <t>March</t>
  </si>
  <si>
    <t>-</t>
  </si>
  <si>
    <t>April</t>
  </si>
  <si>
    <t>May</t>
  </si>
  <si>
    <t>June</t>
  </si>
  <si>
    <t>July</t>
  </si>
  <si>
    <t>August</t>
  </si>
  <si>
    <t>September</t>
  </si>
  <si>
    <t>October</t>
  </si>
  <si>
    <t>Table 1 with Percentage rows deleted</t>
  </si>
  <si>
    <t>Number of Days of Steady Low Releases</t>
  </si>
  <si>
    <t>Zero Days</t>
  </si>
  <si>
    <t>Sorted by Value</t>
  </si>
  <si>
    <t>Difference</t>
  </si>
  <si>
    <t>0 and 4 steady low flow days</t>
  </si>
  <si>
    <t>4 to 8 steady low flow days</t>
  </si>
  <si>
    <t>Above 8 steady low flow days</t>
  </si>
  <si>
    <t>Total</t>
  </si>
  <si>
    <t>This Worksheet compares model results with 2024 and 2014 energy prices</t>
  </si>
  <si>
    <t>Compare Hydropeaking value at 0 days of steady low flows for 2024 and 2014 prices ($ million)</t>
  </si>
  <si>
    <t>Comment</t>
  </si>
  <si>
    <t>Tradeoff curve shifted right to higher hydropeaking value when moved from 2024 to 2014 prices</t>
  </si>
  <si>
    <t>Tradeoff curve shifted left to lower hydropeaking value when moved from 2024 to 2014 prices</t>
  </si>
  <si>
    <t>Difference in cummulative losses (2024 minus 2014 ) ($ million)</t>
  </si>
  <si>
    <t>A negative cummulative loss means 2014 loss was higher than 2024 loss</t>
  </si>
  <si>
    <t>Tables on this worksheet show model results with 2024 energy prices</t>
  </si>
  <si>
    <t>Number of days of steady low reservoir releases</t>
  </si>
  <si>
    <t xml:space="preserve">Table 1. Cumulative loss of hydropeaking value ($ million) per number of days of steady release in 2018 with 0.83 MAF release volume, H1000 (offset release), and market prices of $5/MWh above 2024 contract prices. Losses are calculated relative to zero steady low-flow days (hydropeaking). Rows highlighted in blue indicate percentage losses. </t>
  </si>
  <si>
    <t>Value at zero days of steady low releases</t>
  </si>
  <si>
    <t>2024 Energy Prices</t>
  </si>
  <si>
    <t>2014 Energy Prices</t>
  </si>
  <si>
    <t>Difference in hydropeaking value ($1000) from 2024 to 2014 energy prices per additional steady low flow day added in 2018 with 0.83 MAF release volume, H1000 (offset release), and contract energy price. Positive values indicate 2024 value is higher than 2014 value..</t>
  </si>
  <si>
    <t>Change in hydropeaking value ($1000) per additional day of steady low reservoir release added in 2018 with 0.83 MAF release volume, H1000 (offset release), and contract energy prices. Positive values show an increase; negative values a decrease.</t>
  </si>
  <si>
    <t>Number of steady low flow days per month</t>
  </si>
  <si>
    <t xml:space="preserve">Table S7. Cumulative loss of hydropeaking value ($ million) per number of days of steady release in 2018 with 0.83 MAF release volume, H1000 (offset release), and market prices of $5/MWh above 2014 contract prices. Losses are calculated relative to zero steady low-flow days (hydropeaking). Rows highlighted in blue indicate percentage losses. </t>
  </si>
  <si>
    <t>V1</t>
  </si>
  <si>
    <t>V2</t>
  </si>
  <si>
    <t>V3</t>
  </si>
  <si>
    <t>H4</t>
  </si>
  <si>
    <t>PriceScen1</t>
  </si>
  <si>
    <t>case1</t>
  </si>
  <si>
    <t>case2</t>
  </si>
  <si>
    <t>case3</t>
  </si>
  <si>
    <t>case4</t>
  </si>
  <si>
    <t>case5</t>
  </si>
  <si>
    <t>case6</t>
  </si>
  <si>
    <t>case7</t>
  </si>
  <si>
    <t>case8</t>
  </si>
  <si>
    <t>case9</t>
  </si>
  <si>
    <t>case10</t>
  </si>
  <si>
    <t>case11</t>
  </si>
  <si>
    <t>case12</t>
  </si>
  <si>
    <t>case13</t>
  </si>
  <si>
    <t>PriceScen2</t>
  </si>
  <si>
    <t>Paste the Market Model Fstore  values from .gdx file</t>
  </si>
  <si>
    <t>30/31</t>
  </si>
  <si>
    <t xml:space="preserve">Value at zero  steady days  </t>
  </si>
  <si>
    <t>Table S8. Change in hydropeaking value ($1000) per additional steady low flow day added in 2018 with 0.83 MAF release volume, H1000 (offset release), and contract energy price. Positive values show an increase; negative values a decrease.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</si>
</sst>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6" formatCode="&quot;$&quot;#,##0_);[Red]\(&quot;$&quot;#,##0\)"/>
    <numFmt numFmtId="44" formatCode="_(&quot;$&quot;* #,##0.00_);_(&quot;$&quot;* \(#,##0.00\);_(&quot;$&quot;* &quot;-&quot;??_);_(@_)"/>
    <numFmt numFmtId="164" formatCode="&quot;$&quot;#,##0.0_);[Red]\(&quot;$&quot;#,##0.0\)"/>
    <numFmt numFmtId="165" formatCode="&quot;$&quot;#,##0.00"/>
    <numFmt numFmtId="166" formatCode="&quot;$&quot;#,##0.0"/>
    <numFmt numFmtId="167" formatCode="&quot;$&quot;#,##0"/>
    <numFmt numFmtId="168" formatCode="0.0%"/>
  </numFmts>
  <fonts count="11" x14ac:knownFonts="1">
    <font>
      <sz val="11"/>
      <color theme="1"/>
      <name val="Calibri"/>
      <family val="2"/>
      <scheme val="minor"/>
    </font>
    <font>
      <b/>
      <sz val="12"/>
      <color rgb="FF000000"/>
      <name val="Calibri"/>
      <family val="2"/>
      <scheme val="minor"/>
    </font>
    <font>
      <sz val="11"/>
      <color rgb="FF000000"/>
      <name val="Calibri"/>
      <family val="2"/>
      <scheme val="minor"/>
    </font>
    <font>
      <sz val="12"/>
      <color theme="1"/>
      <name val="Calibri"/>
      <family val="2"/>
      <scheme val="minor"/>
    </font>
    <font>
      <sz val="12"/>
      <color rgb="FF000000"/>
      <name val="Calibri"/>
      <family val="2"/>
      <scheme val="minor"/>
    </font>
    <font>
      <sz val="9"/>
      <color theme="1"/>
      <name val="Segoe UI"/>
      <family val="2"/>
    </font>
    <font>
      <b/>
      <sz val="11"/>
      <color theme="1"/>
      <name val="Calibri"/>
      <family val="2"/>
      <scheme val="minor"/>
    </font>
    <font>
      <sz val="11"/>
      <color theme="1"/>
      <name val="Calibri"/>
      <family val="2"/>
      <scheme val="minor"/>
    </font>
    <font>
      <b/>
      <sz val="9"/>
      <color theme="1"/>
      <name val="Segoe UI"/>
      <family val="2"/>
    </font>
    <font>
      <sz val="11"/>
      <color rgb="FFFF0000"/>
      <name val="Calibri"/>
      <family val="2"/>
      <scheme val="minor"/>
    </font>
    <font>
      <b/>
      <sz val="16"/>
      <color theme="1"/>
      <name val="Calibri"/>
      <family val="2"/>
      <scheme val="minor"/>
    </font>
  </fonts>
  <fills count="8">
    <fill>
      <patternFill patternType="none"/>
    </fill>
    <fill>
      <patternFill patternType="gray125"/>
    </fill>
    <fill>
      <patternFill patternType="solid">
        <fgColor rgb="FFDEEAF6"/>
        <bgColor indexed="64"/>
      </patternFill>
    </fill>
    <fill>
      <patternFill patternType="solid">
        <fgColor rgb="FFF2F2F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s>
  <borders count="8">
    <border>
      <left/>
      <right/>
      <top/>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44" fontId="7" fillId="0" borderId="0" applyFont="0" applyFill="0" applyBorder="0" applyAlignment="0" applyProtection="0"/>
  </cellStyleXfs>
  <cellXfs count="57">
    <xf numFmtId="0" fontId="0" fillId="0" borderId="0" xfId="0"/>
    <xf numFmtId="0" fontId="5" fillId="0" borderId="0" xfId="0" applyFont="1"/>
    <xf numFmtId="0" fontId="0" fillId="0" borderId="0" xfId="0" applyAlignment="1">
      <alignment horizontal="center"/>
    </xf>
    <xf numFmtId="0" fontId="6" fillId="0" borderId="0" xfId="0" applyFont="1"/>
    <xf numFmtId="0" fontId="6" fillId="0" borderId="0" xfId="0" applyFont="1" applyAlignment="1">
      <alignment horizont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3" borderId="3" xfId="0" applyFont="1" applyFill="1" applyBorder="1" applyAlignment="1">
      <alignment horizontal="center" vertical="center"/>
    </xf>
    <xf numFmtId="6" fontId="4" fillId="3" borderId="4" xfId="0" applyNumberFormat="1" applyFont="1" applyFill="1" applyBorder="1" applyAlignment="1">
      <alignment horizontal="center" vertical="center"/>
    </xf>
    <xf numFmtId="0" fontId="1" fillId="0" borderId="3" xfId="0" applyFont="1" applyBorder="1" applyAlignment="1">
      <alignment horizontal="center" vertical="center"/>
    </xf>
    <xf numFmtId="6" fontId="4" fillId="0" borderId="4" xfId="0" applyNumberFormat="1" applyFont="1" applyBorder="1" applyAlignment="1">
      <alignment horizontal="center" vertical="center"/>
    </xf>
    <xf numFmtId="0" fontId="1" fillId="0" borderId="1" xfId="0" applyFont="1" applyBorder="1" applyAlignment="1">
      <alignment horizontal="center" vertical="center"/>
    </xf>
    <xf numFmtId="164" fontId="4" fillId="3" borderId="4" xfId="0" applyNumberFormat="1" applyFont="1" applyFill="1" applyBorder="1" applyAlignment="1">
      <alignment horizontal="center" vertical="center"/>
    </xf>
    <xf numFmtId="164" fontId="4" fillId="0" borderId="4" xfId="0" applyNumberFormat="1" applyFont="1" applyBorder="1" applyAlignment="1">
      <alignment horizontal="center" vertical="center"/>
    </xf>
    <xf numFmtId="164" fontId="0" fillId="0" borderId="0" xfId="0" applyNumberFormat="1"/>
    <xf numFmtId="0" fontId="0" fillId="0" borderId="0" xfId="0" applyAlignment="1">
      <alignment horizontal="center" wrapText="1"/>
    </xf>
    <xf numFmtId="6" fontId="0" fillId="0" borderId="0" xfId="0" applyNumberFormat="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166" fontId="6" fillId="0" borderId="0" xfId="0" applyNumberFormat="1" applyFont="1" applyAlignment="1">
      <alignment horizontal="center"/>
    </xf>
    <xf numFmtId="0" fontId="8" fillId="0" borderId="0" xfId="0" applyFont="1"/>
    <xf numFmtId="0" fontId="1" fillId="2" borderId="5" xfId="0" applyFont="1" applyFill="1" applyBorder="1" applyAlignment="1">
      <alignment horizontal="center" vertical="center"/>
    </xf>
    <xf numFmtId="165" fontId="0" fillId="0" borderId="5" xfId="1" applyNumberFormat="1" applyFont="1" applyBorder="1" applyAlignment="1">
      <alignment horizontal="center" vertical="center"/>
    </xf>
    <xf numFmtId="168" fontId="2" fillId="2" borderId="5" xfId="0" applyNumberFormat="1" applyFont="1" applyFill="1" applyBorder="1" applyAlignment="1">
      <alignment horizontal="center" vertical="center"/>
    </xf>
    <xf numFmtId="0" fontId="2" fillId="2" borderId="5" xfId="0" applyFont="1" applyFill="1" applyBorder="1" applyAlignment="1">
      <alignment horizontal="center" vertical="center"/>
    </xf>
    <xf numFmtId="165" fontId="0" fillId="0" borderId="5" xfId="0" applyNumberFormat="1" applyBorder="1" applyAlignment="1">
      <alignment horizontal="center" vertical="center"/>
    </xf>
    <xf numFmtId="10" fontId="2" fillId="2" borderId="5" xfId="0" applyNumberFormat="1" applyFont="1" applyFill="1"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xf>
    <xf numFmtId="167" fontId="0" fillId="0" borderId="5" xfId="0" applyNumberFormat="1" applyBorder="1" applyAlignment="1">
      <alignment horizontal="center"/>
    </xf>
    <xf numFmtId="0" fontId="6" fillId="0" borderId="5" xfId="0" applyFont="1" applyBorder="1" applyAlignment="1">
      <alignment horizontal="center" wrapText="1"/>
    </xf>
    <xf numFmtId="0" fontId="4" fillId="3" borderId="3" xfId="0" applyFont="1" applyFill="1" applyBorder="1" applyAlignment="1">
      <alignment horizontal="center" vertical="center"/>
    </xf>
    <xf numFmtId="0" fontId="4" fillId="0" borderId="3" xfId="0" applyFont="1" applyBorder="1" applyAlignment="1">
      <alignment horizontal="center" vertical="center"/>
    </xf>
    <xf numFmtId="0" fontId="4" fillId="0" borderId="1" xfId="0" applyFont="1" applyBorder="1" applyAlignment="1">
      <alignment horizontal="center" vertical="center"/>
    </xf>
    <xf numFmtId="168" fontId="4" fillId="2" borderId="5" xfId="0" applyNumberFormat="1" applyFont="1" applyFill="1" applyBorder="1" applyAlignment="1">
      <alignment horizontal="center" vertical="center"/>
    </xf>
    <xf numFmtId="165" fontId="3" fillId="0" borderId="5" xfId="0" applyNumberFormat="1" applyFont="1" applyBorder="1" applyAlignment="1">
      <alignment horizontal="center" vertical="center"/>
    </xf>
    <xf numFmtId="0" fontId="6" fillId="0" borderId="0" xfId="0" applyFont="1" applyAlignment="1">
      <alignment horizontal="center"/>
    </xf>
    <xf numFmtId="0" fontId="6" fillId="0" borderId="5" xfId="0" applyFont="1" applyBorder="1" applyAlignment="1">
      <alignment horizont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5" xfId="0" applyFont="1" applyBorder="1" applyAlignment="1">
      <alignment horizontal="center" vertical="center" wrapText="1"/>
    </xf>
    <xf numFmtId="166" fontId="0" fillId="0" borderId="5" xfId="0" applyNumberFormat="1" applyBorder="1" applyAlignment="1">
      <alignment horizontal="center" vertical="center"/>
    </xf>
    <xf numFmtId="0" fontId="1" fillId="0" borderId="5" xfId="0" applyFont="1" applyBorder="1" applyAlignment="1">
      <alignment horizontal="center" vertical="center"/>
    </xf>
    <xf numFmtId="166" fontId="0" fillId="0" borderId="5" xfId="0" applyNumberFormat="1" applyBorder="1" applyAlignment="1">
      <alignment horizontal="center" vertical="center" wrapText="1"/>
    </xf>
    <xf numFmtId="166"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wrapText="1"/>
    </xf>
    <xf numFmtId="0" fontId="0" fillId="5" borderId="0" xfId="0" applyFill="1" applyAlignment="1">
      <alignment horizontal="center"/>
    </xf>
    <xf numFmtId="0" fontId="0" fillId="5" borderId="0" xfId="0" applyFill="1"/>
    <xf numFmtId="0" fontId="10" fillId="4" borderId="0" xfId="0" applyFont="1" applyFill="1" applyAlignment="1">
      <alignment horizontal="center" wrapText="1"/>
    </xf>
    <xf numFmtId="0" fontId="0" fillId="6" borderId="0" xfId="0" applyFill="1" applyAlignment="1">
      <alignment horizontal="center"/>
    </xf>
    <xf numFmtId="165" fontId="0" fillId="6" borderId="0" xfId="0" applyNumberFormat="1" applyFill="1" applyAlignment="1">
      <alignment horizontal="left"/>
    </xf>
    <xf numFmtId="165" fontId="0" fillId="6" borderId="0" xfId="0" applyNumberFormat="1" applyFill="1" applyAlignment="1">
      <alignment horizontal="center"/>
    </xf>
    <xf numFmtId="0" fontId="9" fillId="7" borderId="0" xfId="0" applyFont="1" applyFill="1" applyAlignment="1">
      <alignment horizontal="center"/>
    </xf>
    <xf numFmtId="165" fontId="9" fillId="7" borderId="0" xfId="0" applyNumberFormat="1" applyFont="1" applyFill="1" applyAlignment="1">
      <alignment horizontal="left"/>
    </xf>
    <xf numFmtId="165" fontId="9" fillId="7" borderId="0" xfId="0" applyNumberFormat="1" applyFont="1" applyFill="1" applyAlignment="1">
      <alignment horizontal="center"/>
    </xf>
    <xf numFmtId="0" fontId="0" fillId="0" borderId="0" xfId="0" applyFill="1"/>
    <xf numFmtId="0" fontId="1" fillId="0" borderId="5" xfId="0" applyFont="1" applyFill="1" applyBorder="1" applyAlignment="1">
      <alignment horizontal="center"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2.xml"/><Relationship Id="rId7"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5"/>
          <c:order val="0"/>
          <c:tx>
            <c:strRef>
              <c:f>'Table1-2024Prices'!$B$46</c:f>
              <c:strCache>
                <c:ptCount val="1"/>
                <c:pt idx="0">
                  <c:v>August</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xVal>
            <c:numRef>
              <c:f>'Table1-2024Prices'!$D$40:$J$40</c:f>
              <c:numCache>
                <c:formatCode>General</c:formatCode>
                <c:ptCount val="7"/>
                <c:pt idx="0">
                  <c:v>4</c:v>
                </c:pt>
                <c:pt idx="1">
                  <c:v>6</c:v>
                </c:pt>
                <c:pt idx="2">
                  <c:v>8</c:v>
                </c:pt>
                <c:pt idx="3">
                  <c:v>10</c:v>
                </c:pt>
                <c:pt idx="4">
                  <c:v>15</c:v>
                </c:pt>
                <c:pt idx="5">
                  <c:v>20</c:v>
                </c:pt>
                <c:pt idx="6">
                  <c:v>25</c:v>
                </c:pt>
              </c:numCache>
            </c:numRef>
          </c:xVal>
          <c:yVal>
            <c:numRef>
              <c:f>'Table1-2024Prices'!$D$46:$J$46</c:f>
              <c:numCache>
                <c:formatCode>General</c:formatCode>
                <c:ptCount val="7"/>
                <c:pt idx="0">
                  <c:v>0.89</c:v>
                </c:pt>
                <c:pt idx="1">
                  <c:v>0.99</c:v>
                </c:pt>
                <c:pt idx="2">
                  <c:v>1.0900000000000001</c:v>
                </c:pt>
                <c:pt idx="3">
                  <c:v>1.46</c:v>
                </c:pt>
                <c:pt idx="4">
                  <c:v>2.25</c:v>
                </c:pt>
                <c:pt idx="5">
                  <c:v>2.88</c:v>
                </c:pt>
                <c:pt idx="6">
                  <c:v>3.4</c:v>
                </c:pt>
              </c:numCache>
            </c:numRef>
          </c:yVal>
          <c:smooth val="0"/>
          <c:extLst>
            <c:ext xmlns:c16="http://schemas.microsoft.com/office/drawing/2014/chart" uri="{C3380CC4-5D6E-409C-BE32-E72D297353CC}">
              <c16:uniqueId val="{00000005-9DA9-4732-B4E4-CB66B828C0E8}"/>
            </c:ext>
          </c:extLst>
        </c:ser>
        <c:ser>
          <c:idx val="4"/>
          <c:order val="1"/>
          <c:tx>
            <c:strRef>
              <c:f>'Table1-2024Prices'!$B$45</c:f>
              <c:strCache>
                <c:ptCount val="1"/>
                <c:pt idx="0">
                  <c:v>July</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xVal>
            <c:numRef>
              <c:f>'Table1-2024Prices'!$D$40:$J$40</c:f>
              <c:numCache>
                <c:formatCode>General</c:formatCode>
                <c:ptCount val="7"/>
                <c:pt idx="0">
                  <c:v>4</c:v>
                </c:pt>
                <c:pt idx="1">
                  <c:v>6</c:v>
                </c:pt>
                <c:pt idx="2">
                  <c:v>8</c:v>
                </c:pt>
                <c:pt idx="3">
                  <c:v>10</c:v>
                </c:pt>
                <c:pt idx="4">
                  <c:v>15</c:v>
                </c:pt>
                <c:pt idx="5">
                  <c:v>20</c:v>
                </c:pt>
                <c:pt idx="6">
                  <c:v>25</c:v>
                </c:pt>
              </c:numCache>
            </c:numRef>
          </c:xVal>
          <c:yVal>
            <c:numRef>
              <c:f>'Table1-2024Prices'!$D$45:$J$45</c:f>
              <c:numCache>
                <c:formatCode>General</c:formatCode>
                <c:ptCount val="7"/>
                <c:pt idx="0">
                  <c:v>0.82</c:v>
                </c:pt>
                <c:pt idx="1">
                  <c:v>0.93</c:v>
                </c:pt>
                <c:pt idx="2">
                  <c:v>1.02</c:v>
                </c:pt>
                <c:pt idx="3">
                  <c:v>1.29</c:v>
                </c:pt>
                <c:pt idx="4">
                  <c:v>1.91</c:v>
                </c:pt>
                <c:pt idx="5">
                  <c:v>2.39</c:v>
                </c:pt>
                <c:pt idx="6">
                  <c:v>2.8</c:v>
                </c:pt>
              </c:numCache>
            </c:numRef>
          </c:yVal>
          <c:smooth val="0"/>
          <c:extLst>
            <c:ext xmlns:c16="http://schemas.microsoft.com/office/drawing/2014/chart" uri="{C3380CC4-5D6E-409C-BE32-E72D297353CC}">
              <c16:uniqueId val="{00000004-9DA9-4732-B4E4-CB66B828C0E8}"/>
            </c:ext>
          </c:extLst>
        </c:ser>
        <c:ser>
          <c:idx val="6"/>
          <c:order val="2"/>
          <c:tx>
            <c:strRef>
              <c:f>'Table1-2024Prices'!$B$47</c:f>
              <c:strCache>
                <c:ptCount val="1"/>
                <c:pt idx="0">
                  <c:v>September</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'Table1-2024Prices'!$D$40:$J$40</c:f>
              <c:numCache>
                <c:formatCode>General</c:formatCode>
                <c:ptCount val="7"/>
                <c:pt idx="0">
                  <c:v>4</c:v>
                </c:pt>
                <c:pt idx="1">
                  <c:v>6</c:v>
                </c:pt>
                <c:pt idx="2">
                  <c:v>8</c:v>
                </c:pt>
                <c:pt idx="3">
                  <c:v>10</c:v>
                </c:pt>
                <c:pt idx="4">
                  <c:v>15</c:v>
                </c:pt>
                <c:pt idx="5">
                  <c:v>20</c:v>
                </c:pt>
                <c:pt idx="6">
                  <c:v>25</c:v>
                </c:pt>
              </c:numCache>
            </c:numRef>
          </c:xVal>
          <c:yVal>
            <c:numRef>
              <c:f>'Table1-2024Prices'!$D$47:$J$47</c:f>
              <c:numCache>
                <c:formatCode>General</c:formatCode>
                <c:ptCount val="7"/>
                <c:pt idx="0">
                  <c:v>0.65</c:v>
                </c:pt>
                <c:pt idx="1">
                  <c:v>0.74</c:v>
                </c:pt>
                <c:pt idx="2">
                  <c:v>0.82</c:v>
                </c:pt>
                <c:pt idx="3">
                  <c:v>1.17</c:v>
                </c:pt>
                <c:pt idx="4">
                  <c:v>1.84</c:v>
                </c:pt>
                <c:pt idx="5">
                  <c:v>2.27</c:v>
                </c:pt>
                <c:pt idx="6">
                  <c:v>2.65</c:v>
                </c:pt>
              </c:numCache>
            </c:numRef>
          </c:yVal>
          <c:smooth val="0"/>
          <c:extLst>
            <c:ext xmlns:c16="http://schemas.microsoft.com/office/drawing/2014/chart" uri="{C3380CC4-5D6E-409C-BE32-E72D297353CC}">
              <c16:uniqueId val="{00000006-9DA9-4732-B4E4-CB66B828C0E8}"/>
            </c:ext>
          </c:extLst>
        </c:ser>
        <c:ser>
          <c:idx val="7"/>
          <c:order val="3"/>
          <c:tx>
            <c:strRef>
              <c:f>'Table1-2024Prices'!$B$48</c:f>
              <c:strCache>
                <c:ptCount val="1"/>
                <c:pt idx="0">
                  <c:v>October</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'Table1-2024Prices'!$D$40:$J$40</c:f>
              <c:numCache>
                <c:formatCode>General</c:formatCode>
                <c:ptCount val="7"/>
                <c:pt idx="0">
                  <c:v>4</c:v>
                </c:pt>
                <c:pt idx="1">
                  <c:v>6</c:v>
                </c:pt>
                <c:pt idx="2">
                  <c:v>8</c:v>
                </c:pt>
                <c:pt idx="3">
                  <c:v>10</c:v>
                </c:pt>
                <c:pt idx="4">
                  <c:v>15</c:v>
                </c:pt>
                <c:pt idx="5">
                  <c:v>20</c:v>
                </c:pt>
                <c:pt idx="6">
                  <c:v>25</c:v>
                </c:pt>
              </c:numCache>
            </c:numRef>
          </c:xVal>
          <c:yVal>
            <c:numRef>
              <c:f>'Table1-2024Prices'!$D$48:$J$48</c:f>
              <c:numCache>
                <c:formatCode>General</c:formatCode>
                <c:ptCount val="7"/>
                <c:pt idx="0">
                  <c:v>0.63</c:v>
                </c:pt>
                <c:pt idx="1">
                  <c:v>0.72</c:v>
                </c:pt>
                <c:pt idx="2">
                  <c:v>0.8</c:v>
                </c:pt>
                <c:pt idx="3">
                  <c:v>1.02</c:v>
                </c:pt>
                <c:pt idx="4">
                  <c:v>1.55</c:v>
                </c:pt>
                <c:pt idx="5">
                  <c:v>1.96</c:v>
                </c:pt>
                <c:pt idx="6">
                  <c:v>2.2999999999999998</c:v>
                </c:pt>
              </c:numCache>
            </c:numRef>
          </c:yVal>
          <c:smooth val="0"/>
          <c:extLst>
            <c:ext xmlns:c16="http://schemas.microsoft.com/office/drawing/2014/chart" uri="{C3380CC4-5D6E-409C-BE32-E72D297353CC}">
              <c16:uniqueId val="{00000007-9DA9-4732-B4E4-CB66B828C0E8}"/>
            </c:ext>
          </c:extLst>
        </c:ser>
        <c:ser>
          <c:idx val="2"/>
          <c:order val="4"/>
          <c:tx>
            <c:strRef>
              <c:f>'Table1-2024Prices'!$B$43</c:f>
              <c:strCache>
                <c:ptCount val="1"/>
                <c:pt idx="0">
                  <c:v>May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xVal>
            <c:numRef>
              <c:f>'Table1-2024Prices'!$D$40:$J$40</c:f>
              <c:numCache>
                <c:formatCode>General</c:formatCode>
                <c:ptCount val="7"/>
                <c:pt idx="0">
                  <c:v>4</c:v>
                </c:pt>
                <c:pt idx="1">
                  <c:v>6</c:v>
                </c:pt>
                <c:pt idx="2">
                  <c:v>8</c:v>
                </c:pt>
                <c:pt idx="3">
                  <c:v>10</c:v>
                </c:pt>
                <c:pt idx="4">
                  <c:v>15</c:v>
                </c:pt>
                <c:pt idx="5">
                  <c:v>20</c:v>
                </c:pt>
                <c:pt idx="6">
                  <c:v>25</c:v>
                </c:pt>
              </c:numCache>
            </c:numRef>
          </c:xVal>
          <c:yVal>
            <c:numRef>
              <c:f>'Table1-2024Prices'!$D$43:$J$43</c:f>
              <c:numCache>
                <c:formatCode>General</c:formatCode>
                <c:ptCount val="7"/>
                <c:pt idx="0">
                  <c:v>0.71</c:v>
                </c:pt>
                <c:pt idx="1">
                  <c:v>0.8</c:v>
                </c:pt>
                <c:pt idx="2">
                  <c:v>0.87</c:v>
                </c:pt>
                <c:pt idx="3">
                  <c:v>1.07</c:v>
                </c:pt>
                <c:pt idx="4">
                  <c:v>1.51</c:v>
                </c:pt>
                <c:pt idx="5">
                  <c:v>1.87</c:v>
                </c:pt>
                <c:pt idx="6">
                  <c:v>2.11</c:v>
                </c:pt>
              </c:numCache>
            </c:numRef>
          </c:yVal>
          <c:smooth val="0"/>
          <c:extLst>
            <c:ext xmlns:c16="http://schemas.microsoft.com/office/drawing/2014/chart" uri="{C3380CC4-5D6E-409C-BE32-E72D297353CC}">
              <c16:uniqueId val="{00000002-9DA9-4732-B4E4-CB66B828C0E8}"/>
            </c:ext>
          </c:extLst>
        </c:ser>
        <c:ser>
          <c:idx val="3"/>
          <c:order val="5"/>
          <c:tx>
            <c:strRef>
              <c:f>'Table1-2024Prices'!$B$44</c:f>
              <c:strCache>
                <c:ptCount val="1"/>
                <c:pt idx="0">
                  <c:v>June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xVal>
            <c:numRef>
              <c:f>'Table1-2024Prices'!$D$40:$J$40</c:f>
              <c:numCache>
                <c:formatCode>General</c:formatCode>
                <c:ptCount val="7"/>
                <c:pt idx="0">
                  <c:v>4</c:v>
                </c:pt>
                <c:pt idx="1">
                  <c:v>6</c:v>
                </c:pt>
                <c:pt idx="2">
                  <c:v>8</c:v>
                </c:pt>
                <c:pt idx="3">
                  <c:v>10</c:v>
                </c:pt>
                <c:pt idx="4">
                  <c:v>15</c:v>
                </c:pt>
                <c:pt idx="5">
                  <c:v>20</c:v>
                </c:pt>
                <c:pt idx="6">
                  <c:v>25</c:v>
                </c:pt>
              </c:numCache>
            </c:numRef>
          </c:xVal>
          <c:yVal>
            <c:numRef>
              <c:f>'Table1-2024Prices'!$D$44:$K$44</c:f>
              <c:numCache>
                <c:formatCode>General</c:formatCode>
                <c:ptCount val="8"/>
                <c:pt idx="0">
                  <c:v>0.51</c:v>
                </c:pt>
                <c:pt idx="1">
                  <c:v>0.59</c:v>
                </c:pt>
                <c:pt idx="2">
                  <c:v>0.68</c:v>
                </c:pt>
                <c:pt idx="3">
                  <c:v>0.9</c:v>
                </c:pt>
                <c:pt idx="4">
                  <c:v>1.32</c:v>
                </c:pt>
                <c:pt idx="5">
                  <c:v>1.62</c:v>
                </c:pt>
                <c:pt idx="6">
                  <c:v>1.87</c:v>
                </c:pt>
                <c:pt idx="7">
                  <c:v>2.09</c:v>
                </c:pt>
              </c:numCache>
            </c:numRef>
          </c:yVal>
          <c:smooth val="0"/>
          <c:extLst>
            <c:ext xmlns:c16="http://schemas.microsoft.com/office/drawing/2014/chart" uri="{C3380CC4-5D6E-409C-BE32-E72D297353CC}">
              <c16:uniqueId val="{00000003-9DA9-4732-B4E4-CB66B828C0E8}"/>
            </c:ext>
          </c:extLst>
        </c:ser>
        <c:ser>
          <c:idx val="0"/>
          <c:order val="6"/>
          <c:tx>
            <c:strRef>
              <c:f>'Table1-2024Prices'!$B$41</c:f>
              <c:strCache>
                <c:ptCount val="1"/>
                <c:pt idx="0">
                  <c:v>March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xVal>
            <c:numRef>
              <c:f>'Table1-2024Prices'!$D$40:$J$40</c:f>
              <c:numCache>
                <c:formatCode>General</c:formatCode>
                <c:ptCount val="7"/>
                <c:pt idx="0">
                  <c:v>4</c:v>
                </c:pt>
                <c:pt idx="1">
                  <c:v>6</c:v>
                </c:pt>
                <c:pt idx="2">
                  <c:v>8</c:v>
                </c:pt>
                <c:pt idx="3">
                  <c:v>10</c:v>
                </c:pt>
                <c:pt idx="4">
                  <c:v>15</c:v>
                </c:pt>
                <c:pt idx="5">
                  <c:v>20</c:v>
                </c:pt>
                <c:pt idx="6">
                  <c:v>25</c:v>
                </c:pt>
              </c:numCache>
            </c:numRef>
          </c:xVal>
          <c:yVal>
            <c:numRef>
              <c:f>'Table1-2024Prices'!$D$41:$J$41</c:f>
              <c:numCache>
                <c:formatCode>General</c:formatCode>
                <c:ptCount val="7"/>
                <c:pt idx="0">
                  <c:v>0.48</c:v>
                </c:pt>
                <c:pt idx="1">
                  <c:v>0.55000000000000004</c:v>
                </c:pt>
                <c:pt idx="2">
                  <c:v>0.61</c:v>
                </c:pt>
                <c:pt idx="3">
                  <c:v>0.78</c:v>
                </c:pt>
                <c:pt idx="4">
                  <c:v>1.1599999999999999</c:v>
                </c:pt>
                <c:pt idx="5">
                  <c:v>1.47</c:v>
                </c:pt>
                <c:pt idx="6">
                  <c:v>1.72</c:v>
                </c:pt>
              </c:numCache>
            </c:numRef>
          </c:yVal>
          <c:smooth val="0"/>
          <c:extLst>
            <c:ext xmlns:c16="http://schemas.microsoft.com/office/drawing/2014/chart" uri="{C3380CC4-5D6E-409C-BE32-E72D297353CC}">
              <c16:uniqueId val="{00000000-9DA9-4732-B4E4-CB66B828C0E8}"/>
            </c:ext>
          </c:extLst>
        </c:ser>
        <c:ser>
          <c:idx val="1"/>
          <c:order val="7"/>
          <c:tx>
            <c:strRef>
              <c:f>'Table1-2024Prices'!$B$42</c:f>
              <c:strCache>
                <c:ptCount val="1"/>
                <c:pt idx="0">
                  <c:v>April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xVal>
            <c:numRef>
              <c:f>'Table1-2024Prices'!$D$40:$J$40</c:f>
              <c:numCache>
                <c:formatCode>General</c:formatCode>
                <c:ptCount val="7"/>
                <c:pt idx="0">
                  <c:v>4</c:v>
                </c:pt>
                <c:pt idx="1">
                  <c:v>6</c:v>
                </c:pt>
                <c:pt idx="2">
                  <c:v>8</c:v>
                </c:pt>
                <c:pt idx="3">
                  <c:v>10</c:v>
                </c:pt>
                <c:pt idx="4">
                  <c:v>15</c:v>
                </c:pt>
                <c:pt idx="5">
                  <c:v>20</c:v>
                </c:pt>
                <c:pt idx="6">
                  <c:v>25</c:v>
                </c:pt>
              </c:numCache>
            </c:numRef>
          </c:xVal>
          <c:yVal>
            <c:numRef>
              <c:f>'Table1-2024Prices'!$D$42:$J$42</c:f>
              <c:numCache>
                <c:formatCode>General</c:formatCode>
                <c:ptCount val="7"/>
                <c:pt idx="0">
                  <c:v>0.44</c:v>
                </c:pt>
                <c:pt idx="1">
                  <c:v>0.52</c:v>
                </c:pt>
                <c:pt idx="2">
                  <c:v>0.6</c:v>
                </c:pt>
                <c:pt idx="3">
                  <c:v>0.79</c:v>
                </c:pt>
                <c:pt idx="4">
                  <c:v>1.1599999999999999</c:v>
                </c:pt>
                <c:pt idx="5">
                  <c:v>1.42</c:v>
                </c:pt>
                <c:pt idx="6">
                  <c:v>1.64</c:v>
                </c:pt>
              </c:numCache>
            </c:numRef>
          </c:yVal>
          <c:smooth val="0"/>
          <c:extLst>
            <c:ext xmlns:c16="http://schemas.microsoft.com/office/drawing/2014/chart" uri="{C3380CC4-5D6E-409C-BE32-E72D297353CC}">
              <c16:uniqueId val="{00000001-9DA9-4732-B4E4-CB66B828C0E8}"/>
            </c:ext>
          </c:extLst>
        </c:ser>
        <c:dLbls>
          <c:showLegendKey val="0"/>
          <c:showVal val="0"/>
          <c:showCatName val="0"/>
          <c:showSerName val="0"/>
          <c:showPercent val="0"/>
          <c:showBubbleSize val="0"/>
        </c:dLbls>
        <c:axId val="1151426176"/>
        <c:axId val="308026704"/>
      </c:scatterChart>
      <c:valAx>
        <c:axId val="1151426176"/>
        <c:scaling>
          <c:orientation val="minMax"/>
        </c:scaling>
        <c:delete val="0"/>
        <c:axPos val="b"/>
        <c:title>
          <c:tx>
            <c:rich>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r>
                  <a:rPr lang="en-US" sz="2400"/>
                  <a:t>Number of Days of Steady Low Reservoir Releases</a:t>
                </a:r>
              </a:p>
            </c:rich>
          </c:tx>
          <c:layout/>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308026704"/>
        <c:crosses val="autoZero"/>
        <c:crossBetween val="midCat"/>
      </c:valAx>
      <c:valAx>
        <c:axId val="308026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r>
                  <a:rPr lang="en-US" sz="2400"/>
                  <a:t>Lost Hydropeaking Value ($ Million)</a:t>
                </a:r>
              </a:p>
            </c:rich>
          </c:tx>
          <c:layout/>
          <c:overlay val="0"/>
          <c:spPr>
            <a:noFill/>
            <a:ln>
              <a:noFill/>
            </a:ln>
            <a:effectLst/>
          </c:spPr>
          <c:txPr>
            <a:bodyPr rot="-54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1151426176"/>
        <c:crosses val="autoZero"/>
        <c:crossBetween val="midCat"/>
      </c:valAx>
      <c:spPr>
        <a:noFill/>
        <a:ln>
          <a:solidFill>
            <a:schemeClr val="tx1"/>
          </a:solidFill>
        </a:ln>
        <a:effectLst/>
      </c:spPr>
    </c:plotArea>
    <c:legend>
      <c:legendPos val="b"/>
      <c:layout>
        <c:manualLayout>
          <c:xMode val="edge"/>
          <c:yMode val="edge"/>
          <c:x val="0.17223103878869503"/>
          <c:y val="4.0259769662650838E-2"/>
          <c:w val="0.19782133958745404"/>
          <c:h val="0.54052874210501312"/>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05"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72286" cy="6295571"/>
    <xdr:graphicFrame macro="">
      <xdr:nvGraphicFramePr>
        <xdr:cNvPr id="2" name="Chart 1">
          <a:extLst>
            <a:ext uri="{FF2B5EF4-FFF2-40B4-BE49-F238E27FC236}">
              <a16:creationId xmlns:a16="http://schemas.microsoft.com/office/drawing/2014/main" id="{3B6E7801-540B-C311-2C8D-51A8C1810CE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M60"/>
  <sheetViews>
    <sheetView topLeftCell="A10" zoomScale="110" zoomScaleNormal="110" workbookViewId="0">
      <selection activeCell="S17" sqref="S17"/>
    </sheetView>
  </sheetViews>
  <sheetFormatPr defaultRowHeight="15" x14ac:dyDescent="0.25"/>
  <cols>
    <col min="2" max="2" width="10" customWidth="1"/>
    <col min="5" max="5" width="9.5703125" customWidth="1"/>
    <col min="11" max="11" width="5.85546875" customWidth="1"/>
  </cols>
  <sheetData>
    <row r="5" spans="1:6" x14ac:dyDescent="0.25">
      <c r="A5" s="3" t="s">
        <v>19</v>
      </c>
    </row>
    <row r="7" spans="1:6" x14ac:dyDescent="0.25">
      <c r="A7" s="3" t="s">
        <v>20</v>
      </c>
      <c r="B7" s="3"/>
      <c r="C7" s="3"/>
      <c r="D7" s="3"/>
      <c r="E7" s="3"/>
    </row>
    <row r="10" spans="1:6" x14ac:dyDescent="0.25">
      <c r="B10" s="3" t="str">
        <f>'Table1-2024Prices'!B40</f>
        <v>Month</v>
      </c>
      <c r="C10" s="4">
        <v>2024</v>
      </c>
      <c r="D10" s="4">
        <v>2014</v>
      </c>
      <c r="E10" s="3" t="s">
        <v>14</v>
      </c>
      <c r="F10" t="s">
        <v>21</v>
      </c>
    </row>
    <row r="11" spans="1:6" x14ac:dyDescent="0.25">
      <c r="B11" t="str">
        <f>'Table1-2024Prices'!B41</f>
        <v>March</v>
      </c>
      <c r="C11" s="18">
        <f>'Table1-2024Prices'!C41</f>
        <v>17.850000000000001</v>
      </c>
      <c r="D11" s="18">
        <f>'Table1-2014Prices'!C29</f>
        <v>19.899999999999999</v>
      </c>
      <c r="E11" s="18">
        <f t="shared" ref="E11:E18" si="0">C11-D11</f>
        <v>-2.0499999999999972</v>
      </c>
      <c r="F11" t="s">
        <v>22</v>
      </c>
    </row>
    <row r="12" spans="1:6" x14ac:dyDescent="0.25">
      <c r="B12" t="str">
        <f>'Table1-2024Prices'!B42</f>
        <v>April</v>
      </c>
      <c r="C12" s="18">
        <f>'Table1-2024Prices'!C42</f>
        <v>17.440000000000001</v>
      </c>
      <c r="D12" s="18">
        <f>'Table1-2014Prices'!C30</f>
        <v>18.2</v>
      </c>
      <c r="E12" s="18">
        <f t="shared" si="0"/>
        <v>-0.75999999999999801</v>
      </c>
      <c r="F12" t="s">
        <v>22</v>
      </c>
    </row>
    <row r="13" spans="1:6" x14ac:dyDescent="0.25">
      <c r="B13" t="str">
        <f>'Table1-2024Prices'!B43</f>
        <v>May</v>
      </c>
      <c r="C13" s="18">
        <f>'Table1-2024Prices'!C43</f>
        <v>15.57</v>
      </c>
      <c r="D13" s="18">
        <f>'Table1-2014Prices'!C31</f>
        <v>18.399999999999999</v>
      </c>
      <c r="E13" s="18">
        <f t="shared" si="0"/>
        <v>-2.8299999999999983</v>
      </c>
      <c r="F13" t="s">
        <v>22</v>
      </c>
    </row>
    <row r="14" spans="1:6" x14ac:dyDescent="0.25">
      <c r="B14" t="str">
        <f>'Table1-2024Prices'!B44</f>
        <v>June</v>
      </c>
      <c r="C14" s="18">
        <f>'Table1-2024Prices'!C44</f>
        <v>19.579999999999998</v>
      </c>
      <c r="D14" s="18">
        <f>'Table1-2014Prices'!C32</f>
        <v>20.100000000000001</v>
      </c>
      <c r="E14" s="18">
        <f t="shared" si="0"/>
        <v>-0.52000000000000313</v>
      </c>
      <c r="F14" t="s">
        <v>22</v>
      </c>
    </row>
    <row r="15" spans="1:6" x14ac:dyDescent="0.25">
      <c r="B15" t="str">
        <f>'Table1-2024Prices'!B45</f>
        <v>July</v>
      </c>
      <c r="C15" s="18">
        <f>'Table1-2024Prices'!C45</f>
        <v>28.9</v>
      </c>
      <c r="D15" s="18">
        <f>'Table1-2014Prices'!C33</f>
        <v>25.3</v>
      </c>
      <c r="E15" s="18">
        <f t="shared" si="0"/>
        <v>3.5999999999999979</v>
      </c>
      <c r="F15" t="s">
        <v>23</v>
      </c>
    </row>
    <row r="16" spans="1:6" x14ac:dyDescent="0.25">
      <c r="B16" t="str">
        <f>'Table1-2024Prices'!B46</f>
        <v>August</v>
      </c>
      <c r="C16" s="18">
        <f>'Table1-2024Prices'!C46</f>
        <v>34.36</v>
      </c>
      <c r="D16" s="18">
        <f>'Table1-2014Prices'!C34</f>
        <v>25.5</v>
      </c>
      <c r="E16" s="18">
        <f t="shared" si="0"/>
        <v>8.86</v>
      </c>
    </row>
    <row r="17" spans="1:13" x14ac:dyDescent="0.25">
      <c r="B17" t="str">
        <f>'Table1-2024Prices'!B47</f>
        <v>September</v>
      </c>
      <c r="C17" s="18">
        <f>'Table1-2024Prices'!C47</f>
        <v>28.62</v>
      </c>
      <c r="D17" s="18">
        <f>'Table1-2014Prices'!C35</f>
        <v>23.6</v>
      </c>
      <c r="E17" s="18">
        <f t="shared" si="0"/>
        <v>5.0199999999999996</v>
      </c>
    </row>
    <row r="18" spans="1:13" x14ac:dyDescent="0.25">
      <c r="B18" t="str">
        <f>'Table1-2024Prices'!B48</f>
        <v>October</v>
      </c>
      <c r="C18" s="18">
        <f>'Table1-2024Prices'!C48</f>
        <v>24.72</v>
      </c>
      <c r="D18" s="18">
        <f>'Table1-2014Prices'!C36</f>
        <v>21.8</v>
      </c>
      <c r="E18" s="18">
        <f t="shared" si="0"/>
        <v>2.9199999999999982</v>
      </c>
    </row>
    <row r="19" spans="1:13" x14ac:dyDescent="0.25">
      <c r="B19" s="3" t="s">
        <v>18</v>
      </c>
      <c r="C19" s="19">
        <f>SUM(C11:C18)</f>
        <v>187.04</v>
      </c>
      <c r="D19" s="19">
        <f>SUM(D11:D18)</f>
        <v>172.8</v>
      </c>
      <c r="E19" s="19">
        <f>SUM(E11:E18)</f>
        <v>14.239999999999998</v>
      </c>
    </row>
    <row r="22" spans="1:13" x14ac:dyDescent="0.25">
      <c r="A22" s="3" t="s">
        <v>24</v>
      </c>
      <c r="B22" s="3"/>
      <c r="C22" s="3"/>
      <c r="D22" s="3"/>
      <c r="E22" s="3"/>
      <c r="F22" s="3"/>
      <c r="G22" s="3"/>
      <c r="H22" s="3"/>
      <c r="I22" s="3"/>
      <c r="J22" s="3"/>
      <c r="K22" s="3"/>
      <c r="L22" s="3"/>
    </row>
    <row r="23" spans="1:13" x14ac:dyDescent="0.25">
      <c r="C23" s="36" t="s">
        <v>11</v>
      </c>
      <c r="D23" s="36"/>
      <c r="E23" s="36"/>
      <c r="F23" s="36"/>
      <c r="G23" s="36"/>
      <c r="H23" s="36"/>
      <c r="I23" s="36"/>
      <c r="J23" s="36"/>
      <c r="K23" s="36"/>
      <c r="L23" s="36"/>
    </row>
    <row r="24" spans="1:13" x14ac:dyDescent="0.25">
      <c r="B24" s="3" t="str">
        <f>'Table1-2024Prices'!B40</f>
        <v>Month</v>
      </c>
      <c r="C24" s="4">
        <f>'Table1-2024Prices'!C40</f>
        <v>0</v>
      </c>
      <c r="D24" s="4">
        <f>'Table1-2024Prices'!D40</f>
        <v>4</v>
      </c>
      <c r="E24" s="4">
        <f>'Table1-2024Prices'!E40</f>
        <v>6</v>
      </c>
      <c r="F24" s="4">
        <f>'Table1-2024Prices'!F40</f>
        <v>8</v>
      </c>
      <c r="G24" s="4">
        <f>'Table1-2024Prices'!G40</f>
        <v>10</v>
      </c>
      <c r="H24" s="4">
        <f>'Table1-2024Prices'!H40</f>
        <v>15</v>
      </c>
      <c r="I24" s="4">
        <f>'Table1-2024Prices'!I40</f>
        <v>20</v>
      </c>
      <c r="J24" s="4">
        <f>'Table1-2024Prices'!J40</f>
        <v>25</v>
      </c>
      <c r="K24" s="4">
        <f>'Table1-2024Prices'!K40</f>
        <v>30</v>
      </c>
      <c r="L24" s="4">
        <f>'Table1-2024Prices'!L40</f>
        <v>31</v>
      </c>
      <c r="M24" t="s">
        <v>21</v>
      </c>
    </row>
    <row r="25" spans="1:13" x14ac:dyDescent="0.25">
      <c r="B25" t="str">
        <f>'Table1-2024Prices'!B41</f>
        <v>March</v>
      </c>
      <c r="C25" s="17">
        <f>'Table1-2024Prices'!C41-'Table1-2014Prices'!C29</f>
        <v>-2.0499999999999972</v>
      </c>
      <c r="D25" s="17">
        <f>'Table1-2024Prices'!D41-'Table1-2014Prices'!D29</f>
        <v>0.13362183902920038</v>
      </c>
      <c r="E25" s="17">
        <f>'Table1-2024Prices'!E41-'Table1-2014Prices'!E29</f>
        <v>0.14625812388009957</v>
      </c>
      <c r="F25" s="17">
        <f>'Table1-2024Prices'!F41-'Table1-2014Prices'!F29</f>
        <v>0.15630986061860247</v>
      </c>
      <c r="G25" s="17">
        <f>'Table1-2024Prices'!G41-'Table1-2014Prices'!G29</f>
        <v>0.14380728478950267</v>
      </c>
      <c r="H25" s="17">
        <f>'Table1-2024Prices'!H41-'Table1-2014Prices'!H29</f>
        <v>0.11666501092850035</v>
      </c>
      <c r="I25" s="17">
        <f>'Table1-2024Prices'!I41-'Table1-2014Prices'!I29</f>
        <v>0.10369119167619933</v>
      </c>
      <c r="J25" s="17">
        <f>'Table1-2024Prices'!J41-'Table1-2014Prices'!J29</f>
        <v>8.3712325325801862E-2</v>
      </c>
      <c r="K25" s="17"/>
      <c r="L25" s="17">
        <f>'Table1-2024Prices'!L41-'Table1-2014Prices'!L29</f>
        <v>7.0000000000000062E-2</v>
      </c>
      <c r="M25" t="s">
        <v>25</v>
      </c>
    </row>
    <row r="26" spans="1:13" x14ac:dyDescent="0.25">
      <c r="B26" t="str">
        <f>'Table1-2024Prices'!B42</f>
        <v>April</v>
      </c>
      <c r="C26" s="17">
        <f>'Table1-2024Prices'!C42-'Table1-2014Prices'!C30</f>
        <v>-0.75999999999999801</v>
      </c>
      <c r="D26" s="17">
        <f>'Table1-2024Prices'!D42-'Table1-2014Prices'!D30</f>
        <v>0.24226369433449954</v>
      </c>
      <c r="E26" s="17">
        <f>'Table1-2024Prices'!E42-'Table1-2014Prices'!E30</f>
        <v>0.26044577761249993</v>
      </c>
      <c r="F26" s="17">
        <f>'Table1-2024Prices'!F42-'Table1-2014Prices'!F30</f>
        <v>0.2811430187925994</v>
      </c>
      <c r="G26" s="17">
        <f>'Table1-2024Prices'!G42-'Table1-2014Prices'!G30</f>
        <v>0.28761273842540014</v>
      </c>
      <c r="H26" s="17">
        <f>'Table1-2024Prices'!H42-'Table1-2014Prices'!H30</f>
        <v>0.34127473121739915</v>
      </c>
      <c r="I26" s="17">
        <f>'Table1-2024Prices'!I42-'Table1-2014Prices'!I30</f>
        <v>0.35207556271160012</v>
      </c>
      <c r="J26" s="17">
        <f>'Table1-2024Prices'!J42-'Table1-2014Prices'!J30</f>
        <v>0.35848019633230188</v>
      </c>
      <c r="K26" s="17">
        <f>'Table1-2024Prices'!K42-'Table1-2014Prices'!K30</f>
        <v>0.36862069803730035</v>
      </c>
      <c r="L26" s="17"/>
      <c r="M26" t="s">
        <v>25</v>
      </c>
    </row>
    <row r="27" spans="1:13" x14ac:dyDescent="0.25">
      <c r="B27" t="str">
        <f>'Table1-2024Prices'!B43</f>
        <v>May</v>
      </c>
      <c r="C27" s="17">
        <f>'Table1-2024Prices'!C43-'Table1-2014Prices'!C31</f>
        <v>-2.8299999999999983</v>
      </c>
      <c r="D27" s="17">
        <f>'Table1-2024Prices'!D43-'Table1-2014Prices'!D31</f>
        <v>0.25701890629169716</v>
      </c>
      <c r="E27" s="17">
        <f>'Table1-2024Prices'!E43-'Table1-2014Prices'!E31</f>
        <v>0.2947899078549967</v>
      </c>
      <c r="F27" s="17">
        <f>'Table1-2024Prices'!F43-'Table1-2014Prices'!F31</f>
        <v>0.30760771776239948</v>
      </c>
      <c r="G27" s="17">
        <f>'Table1-2024Prices'!G43-'Table1-2014Prices'!G31</f>
        <v>0.28797086914799741</v>
      </c>
      <c r="H27" s="17">
        <f>'Table1-2024Prices'!H43-'Table1-2014Prices'!H31</f>
        <v>0.2803014848812968</v>
      </c>
      <c r="I27" s="17">
        <f>'Table1-2024Prices'!I43-'Table1-2014Prices'!I31</f>
        <v>0.28978790602619964</v>
      </c>
      <c r="J27" s="17">
        <f>'Table1-2024Prices'!J43-'Table1-2014Prices'!J31</f>
        <v>0.23706954170319805</v>
      </c>
      <c r="K27" s="17"/>
      <c r="L27" s="17">
        <f>'Table1-2024Prices'!L43-'Table1-2014Prices'!L31</f>
        <v>0.2200000000000002</v>
      </c>
      <c r="M27" t="s">
        <v>25</v>
      </c>
    </row>
    <row r="28" spans="1:13" x14ac:dyDescent="0.25">
      <c r="B28" t="str">
        <f>'Table1-2024Prices'!B44</f>
        <v>June</v>
      </c>
      <c r="C28" s="17">
        <f>'Table1-2024Prices'!C44-'Table1-2014Prices'!C32</f>
        <v>-0.52000000000000313</v>
      </c>
      <c r="D28" s="17">
        <f>'Table1-2024Prices'!D44-'Table1-2014Prices'!D32</f>
        <v>0.20296322313429788</v>
      </c>
      <c r="E28" s="17">
        <f>'Table1-2024Prices'!E44-'Table1-2014Prices'!E32</f>
        <v>0.2190775802541971</v>
      </c>
      <c r="F28" s="17">
        <f>'Table1-2024Prices'!F44-'Table1-2014Prices'!F32</f>
        <v>0.24908064258579915</v>
      </c>
      <c r="G28" s="17">
        <f>'Table1-2024Prices'!G44-'Table1-2014Prices'!G32</f>
        <v>0.22366151802899692</v>
      </c>
      <c r="H28" s="17">
        <f>'Table1-2024Prices'!H44-'Table1-2014Prices'!H32</f>
        <v>0.16177803806099678</v>
      </c>
      <c r="I28" s="17">
        <f>'Table1-2024Prices'!I44-'Table1-2014Prices'!I32</f>
        <v>0.15031816739149773</v>
      </c>
      <c r="J28" s="17">
        <f>'Table1-2024Prices'!J44-'Table1-2014Prices'!J32</f>
        <v>0.13539685033429794</v>
      </c>
      <c r="K28" s="17">
        <f>'Table1-2024Prices'!K44-'Table1-2014Prices'!K32</f>
        <v>0.11984488373429691</v>
      </c>
      <c r="L28" s="17"/>
      <c r="M28" t="s">
        <v>25</v>
      </c>
    </row>
    <row r="29" spans="1:13" x14ac:dyDescent="0.25">
      <c r="B29" t="str">
        <f>'Table1-2024Prices'!B45</f>
        <v>July</v>
      </c>
      <c r="C29" s="17">
        <f>'Table1-2024Prices'!C45-'Table1-2014Prices'!C33</f>
        <v>3.5999999999999979</v>
      </c>
      <c r="D29" s="17">
        <f>'Table1-2024Prices'!D45-'Table1-2014Prices'!D33</f>
        <v>0.12082173123410345</v>
      </c>
      <c r="E29" s="17">
        <f>'Table1-2024Prices'!E45-'Table1-2014Prices'!E33</f>
        <v>0.15960752430440117</v>
      </c>
      <c r="F29" s="17">
        <f>'Table1-2024Prices'!F45-'Table1-2014Prices'!F33</f>
        <v>0.17198281849650299</v>
      </c>
      <c r="G29" s="17">
        <f>'Table1-2024Prices'!G45-'Table1-2014Prices'!G33</f>
        <v>0.13199995642930262</v>
      </c>
      <c r="H29" s="17">
        <f>'Table1-2024Prices'!H45-'Table1-2014Prices'!H33</f>
        <v>7.1536588404603307E-2</v>
      </c>
      <c r="I29" s="17">
        <f>'Table1-2024Prices'!I45-'Table1-2014Prices'!I33</f>
        <v>4.1718221530802513E-2</v>
      </c>
      <c r="J29" s="17">
        <f>'Table1-2024Prices'!J45-'Table1-2014Prices'!J33</f>
        <v>2.609588104560201E-2</v>
      </c>
      <c r="K29" s="17"/>
      <c r="L29" s="17">
        <f>'Table1-2024Prices'!L45-'Table1-2014Prices'!L33</f>
        <v>1.0000000000000231E-2</v>
      </c>
    </row>
    <row r="30" spans="1:13" x14ac:dyDescent="0.25">
      <c r="B30" t="str">
        <f>'Table1-2024Prices'!B46</f>
        <v>August</v>
      </c>
      <c r="C30" s="17">
        <f>'Table1-2024Prices'!C46-'Table1-2014Prices'!C34</f>
        <v>8.86</v>
      </c>
      <c r="D30" s="17">
        <f>'Table1-2024Prices'!D46-'Table1-2014Prices'!D34</f>
        <v>0.26025465680219984</v>
      </c>
      <c r="E30" s="17">
        <f>'Table1-2024Prices'!E46-'Table1-2014Prices'!E34</f>
        <v>0.2880696153810024</v>
      </c>
      <c r="F30" s="17">
        <f>'Table1-2024Prices'!F46-'Table1-2014Prices'!F34</f>
        <v>0.30903881129860145</v>
      </c>
      <c r="G30" s="17">
        <f>'Table1-2024Prices'!G46-'Table1-2014Prices'!G34</f>
        <v>0.37548205993869899</v>
      </c>
      <c r="H30" s="17">
        <f>'Table1-2024Prices'!H46-'Table1-2014Prices'!H34</f>
        <v>0.54676767181029917</v>
      </c>
      <c r="I30" s="17">
        <f>'Table1-2024Prices'!I46-'Table1-2014Prices'!I34</f>
        <v>0.69232900892480087</v>
      </c>
      <c r="J30" s="17">
        <f>'Table1-2024Prices'!J46-'Table1-2014Prices'!J34</f>
        <v>0.80776808996159932</v>
      </c>
      <c r="K30" s="17"/>
      <c r="L30" s="17">
        <f>'Table1-2024Prices'!L46-'Table1-2014Prices'!L34</f>
        <v>0.93000000000000016</v>
      </c>
    </row>
    <row r="31" spans="1:13" x14ac:dyDescent="0.25">
      <c r="B31" t="str">
        <f>'Table1-2024Prices'!B47</f>
        <v>September</v>
      </c>
      <c r="C31" s="17">
        <f>'Table1-2024Prices'!C47-'Table1-2014Prices'!C35</f>
        <v>5.0199999999999996</v>
      </c>
      <c r="D31" s="17">
        <f>'Table1-2024Prices'!D47-'Table1-2014Prices'!D35</f>
        <v>0.41737542003860328</v>
      </c>
      <c r="E31" s="17">
        <f>'Table1-2024Prices'!E47-'Table1-2014Prices'!E35</f>
        <v>0.43617206608300285</v>
      </c>
      <c r="F31" s="17">
        <f>'Table1-2024Prices'!F47-'Table1-2014Prices'!F35</f>
        <v>0.44628340654600035</v>
      </c>
      <c r="G31" s="17">
        <f>'Table1-2024Prices'!G47-'Table1-2014Prices'!G35</f>
        <v>0.57459393842580164</v>
      </c>
      <c r="H31" s="17">
        <f>'Table1-2024Prices'!H47-'Table1-2014Prices'!H35</f>
        <v>0.8935591319262014</v>
      </c>
      <c r="I31" s="17">
        <f>'Table1-2024Prices'!I47-'Table1-2014Prices'!I35</f>
        <v>1.0184752932314016</v>
      </c>
      <c r="J31" s="17">
        <f>'Table1-2024Prices'!J47-'Table1-2014Prices'!J35</f>
        <v>1.137033569210302</v>
      </c>
      <c r="K31" s="17">
        <f>'Table1-2024Prices'!K47-'Table1-2014Prices'!K35</f>
        <v>1.2346865883051008</v>
      </c>
      <c r="L31" s="17"/>
    </row>
    <row r="32" spans="1:13" x14ac:dyDescent="0.25">
      <c r="B32" t="str">
        <f>'Table1-2024Prices'!B48</f>
        <v>October</v>
      </c>
      <c r="C32" s="17">
        <f>'Table1-2024Prices'!C48-'Table1-2014Prices'!C36</f>
        <v>2.9199999999999982</v>
      </c>
      <c r="D32" s="17">
        <f>'Table1-2024Prices'!D48-'Table1-2014Prices'!D36</f>
        <v>0.20876744040689993</v>
      </c>
      <c r="E32" s="17">
        <f>'Table1-2024Prices'!E48-'Table1-2014Prices'!E36</f>
        <v>0.23605942095249888</v>
      </c>
      <c r="F32" s="17">
        <f>'Table1-2024Prices'!F48-'Table1-2014Prices'!F36</f>
        <v>0.25125877966639776</v>
      </c>
      <c r="G32" s="17">
        <f>'Table1-2024Prices'!G48-'Table1-2014Prices'!G36</f>
        <v>0.26121328829040003</v>
      </c>
      <c r="H32" s="17">
        <f>'Table1-2024Prices'!H48-'Table1-2014Prices'!H36</f>
        <v>0.32407236190180111</v>
      </c>
      <c r="I32" s="17">
        <f>'Table1-2024Prices'!I48-'Table1-2014Prices'!I36</f>
        <v>0.36400552525239815</v>
      </c>
      <c r="J32" s="17">
        <f>'Table1-2024Prices'!J48-'Table1-2014Prices'!J36</f>
        <v>0.39474564580040039</v>
      </c>
      <c r="K32" s="17"/>
      <c r="L32" s="17">
        <f>'Table1-2024Prices'!L48-'Table1-2014Prices'!L36</f>
        <v>0.43999999999999995</v>
      </c>
    </row>
    <row r="36" spans="1:8" s="3" customFormat="1" x14ac:dyDescent="0.25">
      <c r="A36" s="3" t="s">
        <v>58</v>
      </c>
    </row>
    <row r="38" spans="1:8" x14ac:dyDescent="0.25">
      <c r="B38" s="37" t="str">
        <f>'Table1-2024Prices'!A55</f>
        <v>Month</v>
      </c>
      <c r="C38" s="37" t="s">
        <v>30</v>
      </c>
      <c r="D38" s="37"/>
      <c r="E38" s="37"/>
      <c r="F38" s="37" t="s">
        <v>31</v>
      </c>
      <c r="G38" s="37"/>
      <c r="H38" s="37"/>
    </row>
    <row r="39" spans="1:8" ht="60" x14ac:dyDescent="0.25">
      <c r="B39" s="37"/>
      <c r="C39" s="30" t="str">
        <f>'Table1-2024Prices'!B55</f>
        <v>0 and 4 steady low flow days</v>
      </c>
      <c r="D39" s="30" t="str">
        <f>'Table1-2024Prices'!C55</f>
        <v>4 to 8 steady low flow days</v>
      </c>
      <c r="E39" s="30" t="str">
        <f>'Table1-2024Prices'!D55</f>
        <v>Above 8 steady low flow days</v>
      </c>
      <c r="F39" s="30" t="str">
        <f>C39</f>
        <v>0 and 4 steady low flow days</v>
      </c>
      <c r="G39" s="30" t="str">
        <f t="shared" ref="G39:H39" si="1">D39</f>
        <v>4 to 8 steady low flow days</v>
      </c>
      <c r="H39" s="30" t="str">
        <f t="shared" si="1"/>
        <v>Above 8 steady low flow days</v>
      </c>
    </row>
    <row r="40" spans="1:8" x14ac:dyDescent="0.25">
      <c r="B40" s="28" t="str">
        <f>'Table1-2024Prices'!A56</f>
        <v>March</v>
      </c>
      <c r="C40" s="29">
        <f>'Table1-2024Prices'!B56</f>
        <v>-7</v>
      </c>
      <c r="D40" s="29">
        <f>'Table1-2024Prices'!C56</f>
        <v>-7</v>
      </c>
      <c r="E40" s="29">
        <f>'Table1-2024Prices'!D56</f>
        <v>-32</v>
      </c>
      <c r="F40" s="29">
        <f>'Table1-2014Prices'!C42</f>
        <v>20</v>
      </c>
      <c r="G40" s="29">
        <f>'Table1-2014Prices'!D42</f>
        <v>-0.6</v>
      </c>
      <c r="H40" s="29">
        <f>'Table1-2014Prices'!E42</f>
        <v>-30</v>
      </c>
    </row>
    <row r="41" spans="1:8" x14ac:dyDescent="0.25">
      <c r="B41" s="28" t="str">
        <f>'Table1-2024Prices'!A57</f>
        <v>April</v>
      </c>
      <c r="C41" s="29">
        <f>'Table1-2024Prices'!B57</f>
        <v>-14</v>
      </c>
      <c r="D41" s="29">
        <f>'Table1-2024Prices'!C57</f>
        <v>-14</v>
      </c>
      <c r="E41" s="29">
        <f>'Table1-2024Prices'!D57</f>
        <v>-43</v>
      </c>
      <c r="F41" s="29">
        <f>'Table1-2014Prices'!C43</f>
        <v>23</v>
      </c>
      <c r="G41" s="29">
        <f>'Table1-2014Prices'!D43</f>
        <v>-1.2</v>
      </c>
      <c r="H41" s="29">
        <f>'Table1-2014Prices'!E43</f>
        <v>-43</v>
      </c>
    </row>
    <row r="42" spans="1:8" x14ac:dyDescent="0.25">
      <c r="B42" s="28" t="str">
        <f>'Table1-2024Prices'!A58</f>
        <v>May</v>
      </c>
      <c r="C42" s="29">
        <f>'Table1-2024Prices'!B58</f>
        <v>-18</v>
      </c>
      <c r="D42" s="29">
        <f>'Table1-2024Prices'!C58</f>
        <v>-18</v>
      </c>
      <c r="E42" s="29">
        <f>'Table1-2024Prices'!D58</f>
        <v>-50</v>
      </c>
      <c r="F42" s="29">
        <f>'Table1-2014Prices'!C44</f>
        <v>30</v>
      </c>
      <c r="G42" s="29">
        <f>'Table1-2014Prices'!D44</f>
        <v>-1</v>
      </c>
      <c r="H42" s="29">
        <f>'Table1-2014Prices'!E44</f>
        <v>-44</v>
      </c>
    </row>
    <row r="43" spans="1:8" x14ac:dyDescent="0.25">
      <c r="B43" s="28" t="str">
        <f>'Table1-2024Prices'!A59</f>
        <v>June</v>
      </c>
      <c r="C43" s="29">
        <f>'Table1-2024Prices'!B59</f>
        <v>-15</v>
      </c>
      <c r="D43" s="29">
        <f>'Table1-2024Prices'!C59</f>
        <v>-15</v>
      </c>
      <c r="E43" s="29">
        <f>'Table1-2024Prices'!D59</f>
        <v>-50</v>
      </c>
      <c r="F43" s="29">
        <f>'Table1-2014Prices'!C45</f>
        <v>37</v>
      </c>
      <c r="G43" s="29">
        <f>'Table1-2014Prices'!D45</f>
        <v>-1.5</v>
      </c>
      <c r="H43" s="29">
        <f>'Table1-2014Prices'!E45</f>
        <v>-54</v>
      </c>
    </row>
    <row r="44" spans="1:8" x14ac:dyDescent="0.25">
      <c r="B44" s="28" t="str">
        <f>'Table1-2024Prices'!A60</f>
        <v>July</v>
      </c>
      <c r="C44" s="29">
        <f>'Table1-2024Prices'!B60</f>
        <v>-19</v>
      </c>
      <c r="D44" s="29">
        <f>'Table1-2024Prices'!C60</f>
        <v>-19</v>
      </c>
      <c r="E44" s="29">
        <f>'Table1-2024Prices'!D60</f>
        <v>-50</v>
      </c>
      <c r="F44" s="29">
        <f>'Table1-2014Prices'!C46</f>
        <v>48</v>
      </c>
      <c r="G44" s="29">
        <f>'Table1-2014Prices'!D46</f>
        <v>-1.6</v>
      </c>
      <c r="H44" s="29">
        <f>'Table1-2014Prices'!E46</f>
        <v>-70</v>
      </c>
    </row>
    <row r="45" spans="1:8" x14ac:dyDescent="0.25">
      <c r="B45" s="28" t="str">
        <f>'Table1-2024Prices'!A61</f>
        <v>August</v>
      </c>
      <c r="C45" s="29">
        <f>'Table1-2024Prices'!B61</f>
        <v>10</v>
      </c>
      <c r="D45" s="29">
        <f>'Table1-2024Prices'!C61</f>
        <v>10</v>
      </c>
      <c r="E45" s="29">
        <f>'Table1-2024Prices'!D61</f>
        <v>-73</v>
      </c>
      <c r="F45" s="29">
        <f>'Table1-2014Prices'!C47</f>
        <v>42</v>
      </c>
      <c r="G45" s="29">
        <f>'Table1-2014Prices'!D47</f>
        <v>-1.4</v>
      </c>
      <c r="H45" s="29">
        <f>'Table1-2014Prices'!E47</f>
        <v>-61</v>
      </c>
    </row>
    <row r="46" spans="1:8" x14ac:dyDescent="0.25">
      <c r="B46" s="28" t="str">
        <f>'Table1-2024Prices'!A62</f>
        <v>September</v>
      </c>
      <c r="C46" s="29">
        <f>'Table1-2024Prices'!B62</f>
        <v>2</v>
      </c>
      <c r="D46" s="29">
        <f>'Table1-2024Prices'!C62</f>
        <v>2</v>
      </c>
      <c r="E46" s="29">
        <f>'Table1-2024Prices'!D62</f>
        <v>-76</v>
      </c>
      <c r="F46" s="29">
        <f>'Table1-2014Prices'!C48</f>
        <v>25</v>
      </c>
      <c r="G46" s="29">
        <f>'Table1-2014Prices'!D48</f>
        <v>-1</v>
      </c>
      <c r="H46" s="29">
        <f>'Table1-2014Prices'!E48</f>
        <v>-37</v>
      </c>
    </row>
    <row r="47" spans="1:8" x14ac:dyDescent="0.25">
      <c r="B47" s="28" t="str">
        <f>'Table1-2024Prices'!A63</f>
        <v>October</v>
      </c>
      <c r="C47" s="29">
        <f>'Table1-2024Prices'!B63</f>
        <v>-8</v>
      </c>
      <c r="D47" s="29">
        <f>'Table1-2024Prices'!C63</f>
        <v>-8</v>
      </c>
      <c r="E47" s="29">
        <f>'Table1-2024Prices'!D63</f>
        <v>-42</v>
      </c>
      <c r="F47" s="29">
        <f>'Table1-2014Prices'!C49</f>
        <v>26</v>
      </c>
      <c r="G47" s="29">
        <f>'Table1-2014Prices'!D49</f>
        <v>-0.8</v>
      </c>
      <c r="H47" s="29">
        <f>'Table1-2014Prices'!E49</f>
        <v>-38</v>
      </c>
    </row>
    <row r="50" spans="1:4" x14ac:dyDescent="0.25">
      <c r="A50" s="3" t="s">
        <v>32</v>
      </c>
    </row>
    <row r="52" spans="1:4" ht="60" x14ac:dyDescent="0.25">
      <c r="A52" t="str">
        <f>'Table1-2024Prices'!A55</f>
        <v>Month</v>
      </c>
      <c r="B52" s="15" t="str">
        <f>'Table1-2024Prices'!B55</f>
        <v>0 and 4 steady low flow days</v>
      </c>
      <c r="C52" s="15" t="str">
        <f>'Table1-2024Prices'!C55</f>
        <v>4 to 8 steady low flow days</v>
      </c>
      <c r="D52" s="15" t="str">
        <f>'Table1-2024Prices'!D55</f>
        <v>Above 8 steady low flow days</v>
      </c>
    </row>
    <row r="53" spans="1:4" x14ac:dyDescent="0.25">
      <c r="A53" t="str">
        <f>'Table1-2024Prices'!A56</f>
        <v>March</v>
      </c>
      <c r="B53" s="16">
        <f>'Table1-2024Prices'!B56-'Table1-2014Prices'!C42</f>
        <v>-27</v>
      </c>
      <c r="C53" s="16">
        <f>'Table1-2024Prices'!C56-'Table1-2014Prices'!D42</f>
        <v>-6.4</v>
      </c>
      <c r="D53" s="16">
        <f>'Table1-2024Prices'!D56-'Table1-2014Prices'!E42</f>
        <v>-2</v>
      </c>
    </row>
    <row r="54" spans="1:4" x14ac:dyDescent="0.25">
      <c r="A54" t="str">
        <f>'Table1-2024Prices'!A57</f>
        <v>April</v>
      </c>
      <c r="B54" s="16">
        <f>'Table1-2024Prices'!B57-'Table1-2014Prices'!C43</f>
        <v>-37</v>
      </c>
      <c r="C54" s="16">
        <f>'Table1-2024Prices'!C57-'Table1-2014Prices'!D43</f>
        <v>-12.8</v>
      </c>
      <c r="D54" s="16">
        <f>'Table1-2024Prices'!D57-'Table1-2014Prices'!E43</f>
        <v>0</v>
      </c>
    </row>
    <row r="55" spans="1:4" x14ac:dyDescent="0.25">
      <c r="A55" t="str">
        <f>'Table1-2024Prices'!A58</f>
        <v>May</v>
      </c>
      <c r="B55" s="16">
        <f>'Table1-2024Prices'!B58-'Table1-2014Prices'!C44</f>
        <v>-48</v>
      </c>
      <c r="C55" s="16">
        <f>'Table1-2024Prices'!C58-'Table1-2014Prices'!D44</f>
        <v>-17</v>
      </c>
      <c r="D55" s="16">
        <f>'Table1-2024Prices'!D58-'Table1-2014Prices'!E44</f>
        <v>-6</v>
      </c>
    </row>
    <row r="56" spans="1:4" x14ac:dyDescent="0.25">
      <c r="A56" t="str">
        <f>'Table1-2024Prices'!A59</f>
        <v>June</v>
      </c>
      <c r="B56" s="16">
        <f>'Table1-2024Prices'!B59-'Table1-2014Prices'!C45</f>
        <v>-52</v>
      </c>
      <c r="C56" s="16">
        <f>'Table1-2024Prices'!C59-'Table1-2014Prices'!D45</f>
        <v>-13.5</v>
      </c>
      <c r="D56" s="16">
        <f>'Table1-2024Prices'!D59-'Table1-2014Prices'!E45</f>
        <v>4</v>
      </c>
    </row>
    <row r="57" spans="1:4" x14ac:dyDescent="0.25">
      <c r="A57" t="str">
        <f>'Table1-2024Prices'!A60</f>
        <v>July</v>
      </c>
      <c r="B57" s="16">
        <f>'Table1-2024Prices'!B60-'Table1-2014Prices'!C46</f>
        <v>-67</v>
      </c>
      <c r="C57" s="16">
        <f>'Table1-2024Prices'!C60-'Table1-2014Prices'!D46</f>
        <v>-17.399999999999999</v>
      </c>
      <c r="D57" s="16">
        <f>'Table1-2024Prices'!D60-'Table1-2014Prices'!E46</f>
        <v>20</v>
      </c>
    </row>
    <row r="58" spans="1:4" x14ac:dyDescent="0.25">
      <c r="A58" t="str">
        <f>'Table1-2024Prices'!A61</f>
        <v>August</v>
      </c>
      <c r="B58" s="16">
        <f>'Table1-2024Prices'!B61-'Table1-2014Prices'!C47</f>
        <v>-32</v>
      </c>
      <c r="C58" s="16">
        <f>'Table1-2024Prices'!C61-'Table1-2014Prices'!D47</f>
        <v>11.4</v>
      </c>
      <c r="D58" s="16">
        <f>'Table1-2024Prices'!D61-'Table1-2014Prices'!E47</f>
        <v>-12</v>
      </c>
    </row>
    <row r="59" spans="1:4" x14ac:dyDescent="0.25">
      <c r="A59" t="str">
        <f>'Table1-2024Prices'!A62</f>
        <v>September</v>
      </c>
      <c r="B59" s="16">
        <f>'Table1-2024Prices'!B62-'Table1-2014Prices'!C48</f>
        <v>-23</v>
      </c>
      <c r="C59" s="16">
        <f>'Table1-2024Prices'!C62-'Table1-2014Prices'!D48</f>
        <v>3</v>
      </c>
      <c r="D59" s="16">
        <f>'Table1-2024Prices'!D62-'Table1-2014Prices'!E48</f>
        <v>-39</v>
      </c>
    </row>
    <row r="60" spans="1:4" x14ac:dyDescent="0.25">
      <c r="A60" t="str">
        <f>'Table1-2024Prices'!A63</f>
        <v>October</v>
      </c>
      <c r="B60" s="16">
        <f>'Table1-2024Prices'!B63-'Table1-2014Prices'!C49</f>
        <v>-34</v>
      </c>
      <c r="C60" s="16">
        <f>'Table1-2024Prices'!C63-'Table1-2014Prices'!D49</f>
        <v>-7.2</v>
      </c>
      <c r="D60" s="16">
        <f>'Table1-2024Prices'!D63-'Table1-2014Prices'!E49</f>
        <v>-4</v>
      </c>
    </row>
  </sheetData>
  <mergeCells count="4">
    <mergeCell ref="C23:L23"/>
    <mergeCell ref="C38:E38"/>
    <mergeCell ref="F38:H38"/>
    <mergeCell ref="B38:B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63"/>
  <sheetViews>
    <sheetView topLeftCell="A40" zoomScale="80" zoomScaleNormal="80" workbookViewId="0">
      <selection activeCell="AB58" sqref="AB58"/>
    </sheetView>
  </sheetViews>
  <sheetFormatPr defaultRowHeight="15" x14ac:dyDescent="0.25"/>
  <cols>
    <col min="1" max="1" width="17.140625" customWidth="1"/>
    <col min="2" max="2" width="9.85546875" customWidth="1"/>
    <col min="3" max="3" width="11.5703125" customWidth="1"/>
    <col min="16" max="16" width="3.5703125" customWidth="1"/>
    <col min="17" max="17" width="14.5703125" style="2" customWidth="1"/>
    <col min="18" max="18" width="14.85546875" style="2" bestFit="1" customWidth="1"/>
    <col min="19" max="19" width="7.5703125" style="2" customWidth="1"/>
    <col min="20" max="20" width="8.7109375" style="2"/>
    <col min="21" max="21" width="6.7109375" style="2" customWidth="1"/>
    <col min="22" max="22" width="6.140625" style="2" customWidth="1"/>
    <col min="23" max="23" width="10.42578125" style="2" customWidth="1"/>
    <col min="24" max="24" width="8.7109375" style="2"/>
    <col min="25" max="25" width="13.28515625" style="2" customWidth="1"/>
    <col min="26" max="27" width="8.7109375" style="2"/>
    <col min="28" max="28" width="9.42578125" customWidth="1"/>
    <col min="30" max="30" width="7.85546875" customWidth="1"/>
    <col min="31" max="31" width="3.140625" customWidth="1"/>
    <col min="33" max="33" width="6.5703125" customWidth="1"/>
    <col min="34" max="34" width="2.42578125" hidden="1" customWidth="1"/>
    <col min="35" max="35" width="12.42578125" customWidth="1"/>
    <col min="37" max="37" width="15" customWidth="1"/>
  </cols>
  <sheetData>
    <row r="1" spans="1:39" x14ac:dyDescent="0.25">
      <c r="A1" s="20" t="s">
        <v>26</v>
      </c>
    </row>
    <row r="3" spans="1:39" x14ac:dyDescent="0.25">
      <c r="A3" s="3" t="s">
        <v>28</v>
      </c>
    </row>
    <row r="5" spans="1:39" ht="15.95" customHeight="1" x14ac:dyDescent="0.25">
      <c r="C5" s="40" t="s">
        <v>0</v>
      </c>
      <c r="D5" s="40" t="s">
        <v>29</v>
      </c>
      <c r="E5" s="42" t="s">
        <v>27</v>
      </c>
      <c r="F5" s="42"/>
      <c r="G5" s="42"/>
      <c r="H5" s="42"/>
      <c r="I5" s="42"/>
      <c r="J5" s="42"/>
      <c r="K5" s="42"/>
      <c r="L5" s="42"/>
      <c r="M5" s="42"/>
    </row>
    <row r="6" spans="1:39" ht="78" customHeight="1" x14ac:dyDescent="0.35">
      <c r="C6" s="40"/>
      <c r="D6" s="40"/>
      <c r="E6" s="21">
        <v>4</v>
      </c>
      <c r="F6" s="21">
        <v>6</v>
      </c>
      <c r="G6" s="21">
        <v>8</v>
      </c>
      <c r="H6" s="21">
        <v>10</v>
      </c>
      <c r="I6" s="21">
        <v>15</v>
      </c>
      <c r="J6" s="21">
        <v>20</v>
      </c>
      <c r="K6" s="21">
        <v>25</v>
      </c>
      <c r="L6" s="21">
        <v>30</v>
      </c>
      <c r="M6" s="21">
        <v>31</v>
      </c>
      <c r="R6" s="40" t="s">
        <v>29</v>
      </c>
      <c r="S6" s="42" t="s">
        <v>27</v>
      </c>
      <c r="T6" s="42"/>
      <c r="U6" s="42"/>
      <c r="V6" s="42"/>
      <c r="W6" s="42"/>
      <c r="X6" s="42"/>
      <c r="Y6" s="42"/>
      <c r="Z6" s="42"/>
      <c r="AA6" s="42"/>
      <c r="AI6" s="48" t="s">
        <v>55</v>
      </c>
      <c r="AJ6" s="48"/>
      <c r="AK6" s="48"/>
      <c r="AL6" s="48"/>
      <c r="AM6" s="48"/>
    </row>
    <row r="7" spans="1:39" ht="15" customHeight="1" x14ac:dyDescent="0.25">
      <c r="C7" s="38" t="s">
        <v>1</v>
      </c>
      <c r="D7" s="41">
        <v>17.850000000000001</v>
      </c>
      <c r="E7" s="22">
        <v>0.48</v>
      </c>
      <c r="F7" s="22">
        <v>0.55000000000000004</v>
      </c>
      <c r="G7" s="22">
        <v>0.61</v>
      </c>
      <c r="H7" s="22">
        <v>0.78</v>
      </c>
      <c r="I7" s="22">
        <v>1.1599999999999999</v>
      </c>
      <c r="J7" s="22">
        <v>1.47</v>
      </c>
      <c r="K7" s="22">
        <v>1.72</v>
      </c>
      <c r="L7" s="22" t="s">
        <v>2</v>
      </c>
      <c r="M7" s="22">
        <v>1.98</v>
      </c>
      <c r="R7" s="40"/>
      <c r="S7" s="21">
        <v>4</v>
      </c>
      <c r="T7" s="21">
        <v>6</v>
      </c>
      <c r="U7" s="21">
        <v>8</v>
      </c>
      <c r="V7" s="21">
        <v>10</v>
      </c>
      <c r="W7" s="21">
        <v>15</v>
      </c>
      <c r="X7" s="21">
        <v>20</v>
      </c>
      <c r="Y7" s="21">
        <v>25</v>
      </c>
      <c r="Z7" s="21" t="s">
        <v>56</v>
      </c>
      <c r="AI7" s="46"/>
      <c r="AJ7" s="46"/>
      <c r="AK7" s="46" t="s">
        <v>36</v>
      </c>
      <c r="AL7" s="46" t="s">
        <v>37</v>
      </c>
      <c r="AM7" s="47" t="s">
        <v>38</v>
      </c>
    </row>
    <row r="8" spans="1:39" ht="15" customHeight="1" x14ac:dyDescent="0.25">
      <c r="C8" s="39"/>
      <c r="D8" s="41"/>
      <c r="E8" s="23">
        <v>2.7E-2</v>
      </c>
      <c r="F8" s="23">
        <v>3.1E-2</v>
      </c>
      <c r="G8" s="23">
        <v>3.4000000000000002E-2</v>
      </c>
      <c r="H8" s="23">
        <v>4.3999999999999997E-2</v>
      </c>
      <c r="I8" s="23">
        <v>6.5000000000000002E-2</v>
      </c>
      <c r="J8" s="23">
        <v>8.2000000000000003E-2</v>
      </c>
      <c r="K8" s="23">
        <v>9.6000000000000002E-2</v>
      </c>
      <c r="L8" s="23" t="s">
        <v>2</v>
      </c>
      <c r="M8" s="23">
        <v>0.111</v>
      </c>
      <c r="Q8" s="49" t="str">
        <f>AI10</f>
        <v>PriceScen1</v>
      </c>
      <c r="R8" s="50">
        <f>AL9/10^6</f>
        <v>34.359425453157094</v>
      </c>
      <c r="S8" s="51">
        <f>($AL$9-AL12)/10^6</f>
        <v>0.89731595849519596</v>
      </c>
      <c r="T8" s="51">
        <f>($AL$9-AL13)/10^6</f>
        <v>0.99149055266809838</v>
      </c>
      <c r="U8" s="51">
        <f>($AL$9-AL14)/10^6</f>
        <v>1.0937919073439986</v>
      </c>
      <c r="V8" s="51">
        <f>($AL$9-AL16)/10^6</f>
        <v>1.4644027443839982</v>
      </c>
      <c r="W8" s="51">
        <f>($AL$9-AL18)/10^6</f>
        <v>2.2571214774208963</v>
      </c>
      <c r="X8" s="51">
        <f>($AL$9-AL19)/10^6</f>
        <v>2.8819381436407974</v>
      </c>
      <c r="Y8" s="51">
        <f>($AL$9-AL20)/10^6</f>
        <v>3.4031131638805978</v>
      </c>
      <c r="Z8" s="51">
        <f>(AL9-AL21)/10^6</f>
        <v>3.9387895824227965</v>
      </c>
      <c r="AI8" s="46"/>
      <c r="AJ8" s="46"/>
      <c r="AK8" s="46" t="s">
        <v>39</v>
      </c>
      <c r="AL8" s="46" t="s">
        <v>39</v>
      </c>
      <c r="AM8" s="47" t="s">
        <v>39</v>
      </c>
    </row>
    <row r="9" spans="1:39" ht="15" customHeight="1" x14ac:dyDescent="0.25">
      <c r="C9" s="38" t="s">
        <v>3</v>
      </c>
      <c r="D9" s="41">
        <v>17.440000000000001</v>
      </c>
      <c r="E9" s="27">
        <v>0.44</v>
      </c>
      <c r="F9" s="22">
        <v>0.52</v>
      </c>
      <c r="G9" s="22">
        <v>0.6</v>
      </c>
      <c r="H9" s="22">
        <v>0.79</v>
      </c>
      <c r="I9" s="22">
        <v>1.1599999999999999</v>
      </c>
      <c r="J9" s="22">
        <v>1.42</v>
      </c>
      <c r="K9" s="22">
        <v>1.64</v>
      </c>
      <c r="L9" s="22">
        <v>1.84</v>
      </c>
      <c r="M9" s="22" t="s">
        <v>2</v>
      </c>
      <c r="AI9" s="46" t="s">
        <v>40</v>
      </c>
      <c r="AJ9" s="46" t="s">
        <v>41</v>
      </c>
      <c r="AK9" s="46">
        <v>29713165.513489299</v>
      </c>
      <c r="AL9" s="46">
        <v>34359425.453157097</v>
      </c>
      <c r="AM9" s="47">
        <v>39021528.567310303</v>
      </c>
    </row>
    <row r="10" spans="1:39" ht="15" customHeight="1" x14ac:dyDescent="0.25">
      <c r="C10" s="39"/>
      <c r="D10" s="41"/>
      <c r="E10" s="23">
        <v>2.5000000000000001E-2</v>
      </c>
      <c r="F10" s="23">
        <v>0.03</v>
      </c>
      <c r="G10" s="23">
        <v>3.4000000000000002E-2</v>
      </c>
      <c r="H10" s="23">
        <v>4.4999999999999998E-2</v>
      </c>
      <c r="I10" s="23">
        <v>6.7000000000000004E-2</v>
      </c>
      <c r="J10" s="23">
        <v>8.1000000000000003E-2</v>
      </c>
      <c r="K10" s="23">
        <v>9.4E-2</v>
      </c>
      <c r="L10" s="23">
        <v>0.106</v>
      </c>
      <c r="M10" s="24" t="s">
        <v>2</v>
      </c>
      <c r="AI10" s="46" t="s">
        <v>40</v>
      </c>
      <c r="AJ10" s="46" t="s">
        <v>42</v>
      </c>
      <c r="AK10" s="46">
        <v>29177820.515446801</v>
      </c>
      <c r="AL10" s="46">
        <v>33513158.276519001</v>
      </c>
      <c r="AM10" s="47">
        <v>38122046.045326799</v>
      </c>
    </row>
    <row r="11" spans="1:39" ht="15" customHeight="1" x14ac:dyDescent="0.25">
      <c r="C11" s="38" t="s">
        <v>4</v>
      </c>
      <c r="D11" s="41">
        <v>15.57</v>
      </c>
      <c r="E11" s="27">
        <v>0.71</v>
      </c>
      <c r="F11" s="22">
        <v>0.8</v>
      </c>
      <c r="G11" s="22">
        <v>0.87</v>
      </c>
      <c r="H11" s="22">
        <v>1.07</v>
      </c>
      <c r="I11" s="22">
        <v>1.51</v>
      </c>
      <c r="J11" s="22">
        <v>1.87</v>
      </c>
      <c r="K11" s="22">
        <v>2.11</v>
      </c>
      <c r="L11" s="22" t="s">
        <v>2</v>
      </c>
      <c r="M11" s="22">
        <v>2.39</v>
      </c>
      <c r="AI11" s="46" t="s">
        <v>40</v>
      </c>
      <c r="AJ11" s="46" t="s">
        <v>43</v>
      </c>
      <c r="AK11" s="46">
        <v>29169255.6927091</v>
      </c>
      <c r="AL11" s="46">
        <v>33495296.665775999</v>
      </c>
      <c r="AM11" s="47">
        <v>38119840.021225199</v>
      </c>
    </row>
    <row r="12" spans="1:39" ht="15" customHeight="1" x14ac:dyDescent="0.25">
      <c r="C12" s="39"/>
      <c r="D12" s="41"/>
      <c r="E12" s="23">
        <v>4.5999999999999999E-2</v>
      </c>
      <c r="F12" s="23">
        <v>5.0999999999999997E-2</v>
      </c>
      <c r="G12" s="23">
        <v>5.6000000000000001E-2</v>
      </c>
      <c r="H12" s="23">
        <v>6.9000000000000006E-2</v>
      </c>
      <c r="I12" s="23">
        <v>9.7000000000000003E-2</v>
      </c>
      <c r="J12" s="23">
        <v>0.12</v>
      </c>
      <c r="K12" s="23">
        <v>0.13600000000000001</v>
      </c>
      <c r="L12" s="23" t="s">
        <v>2</v>
      </c>
      <c r="M12" s="23">
        <v>0.154</v>
      </c>
      <c r="AI12" s="46" t="s">
        <v>40</v>
      </c>
      <c r="AJ12" s="46" t="s">
        <v>44</v>
      </c>
      <c r="AK12" s="46">
        <v>29152936.0175763</v>
      </c>
      <c r="AL12" s="46">
        <v>33462109.494661901</v>
      </c>
      <c r="AM12" s="47">
        <v>38117155.412217103</v>
      </c>
    </row>
    <row r="13" spans="1:39" ht="15" customHeight="1" x14ac:dyDescent="0.25">
      <c r="C13" s="38" t="s">
        <v>5</v>
      </c>
      <c r="D13" s="41">
        <v>19.579999999999998</v>
      </c>
      <c r="E13" s="22">
        <v>0.51</v>
      </c>
      <c r="F13" s="22">
        <v>0.59</v>
      </c>
      <c r="G13" s="22">
        <v>0.68</v>
      </c>
      <c r="H13" s="22">
        <v>0.9</v>
      </c>
      <c r="I13" s="22">
        <v>1.32</v>
      </c>
      <c r="J13" s="22">
        <v>1.62</v>
      </c>
      <c r="K13" s="22">
        <v>1.87</v>
      </c>
      <c r="L13" s="22">
        <v>2.09</v>
      </c>
      <c r="M13" s="22" t="s">
        <v>2</v>
      </c>
      <c r="AI13" s="46" t="s">
        <v>40</v>
      </c>
      <c r="AJ13" s="46" t="s">
        <v>45</v>
      </c>
      <c r="AK13" s="46">
        <v>29092804.658303499</v>
      </c>
      <c r="AL13" s="46">
        <v>33367934.900488999</v>
      </c>
      <c r="AM13" s="47">
        <v>38031482.707645603</v>
      </c>
    </row>
    <row r="14" spans="1:39" ht="15" customHeight="1" x14ac:dyDescent="0.25">
      <c r="C14" s="39"/>
      <c r="D14" s="41"/>
      <c r="E14" s="23">
        <v>2.5999999999999999E-2</v>
      </c>
      <c r="F14" s="23">
        <v>0.03</v>
      </c>
      <c r="G14" s="23">
        <v>3.5000000000000003E-2</v>
      </c>
      <c r="H14" s="23">
        <v>4.5999999999999999E-2</v>
      </c>
      <c r="I14" s="23">
        <v>6.7000000000000004E-2</v>
      </c>
      <c r="J14" s="23">
        <v>8.3000000000000004E-2</v>
      </c>
      <c r="K14" s="23">
        <v>9.6000000000000002E-2</v>
      </c>
      <c r="L14" s="23">
        <v>0.107</v>
      </c>
      <c r="M14" s="24" t="s">
        <v>2</v>
      </c>
      <c r="AI14" s="46" t="s">
        <v>40</v>
      </c>
      <c r="AJ14" s="46" t="s">
        <v>46</v>
      </c>
      <c r="AK14" s="46">
        <v>29034515.802447598</v>
      </c>
      <c r="AL14" s="46">
        <v>33265633.545813099</v>
      </c>
      <c r="AM14" s="47">
        <v>37942628.745012902</v>
      </c>
    </row>
    <row r="15" spans="1:39" ht="15" customHeight="1" x14ac:dyDescent="0.25">
      <c r="C15" s="38" t="s">
        <v>6</v>
      </c>
      <c r="D15" s="43">
        <v>28.9</v>
      </c>
      <c r="E15" s="25">
        <v>0.82</v>
      </c>
      <c r="F15" s="25">
        <v>0.93</v>
      </c>
      <c r="G15" s="25">
        <v>1.02</v>
      </c>
      <c r="H15" s="25">
        <v>1.29</v>
      </c>
      <c r="I15" s="25">
        <v>1.91</v>
      </c>
      <c r="J15" s="25">
        <v>2.39</v>
      </c>
      <c r="K15" s="25">
        <v>2.8</v>
      </c>
      <c r="L15" s="25" t="s">
        <v>2</v>
      </c>
      <c r="M15" s="25">
        <v>3.22</v>
      </c>
      <c r="AI15" s="46" t="s">
        <v>40</v>
      </c>
      <c r="AJ15" s="46" t="s">
        <v>47</v>
      </c>
      <c r="AK15" s="46">
        <v>28876409.824783601</v>
      </c>
      <c r="AL15" s="46">
        <v>33066664.9333467</v>
      </c>
      <c r="AM15" s="47">
        <v>37774263.090484902</v>
      </c>
    </row>
    <row r="16" spans="1:39" ht="15" customHeight="1" x14ac:dyDescent="0.25">
      <c r="C16" s="39"/>
      <c r="D16" s="43"/>
      <c r="E16" s="23">
        <v>2.8000000000000001E-2</v>
      </c>
      <c r="F16" s="23">
        <v>3.2000000000000001E-2</v>
      </c>
      <c r="G16" s="23">
        <v>3.5000000000000003E-2</v>
      </c>
      <c r="H16" s="23">
        <v>4.4999999999999998E-2</v>
      </c>
      <c r="I16" s="23">
        <v>6.6000000000000003E-2</v>
      </c>
      <c r="J16" s="23">
        <v>8.3000000000000004E-2</v>
      </c>
      <c r="K16" s="23">
        <v>9.7000000000000003E-2</v>
      </c>
      <c r="L16" s="24" t="s">
        <v>2</v>
      </c>
      <c r="M16" s="26">
        <v>0.111</v>
      </c>
      <c r="AI16" s="46" t="s">
        <v>40</v>
      </c>
      <c r="AJ16" s="46" t="s">
        <v>48</v>
      </c>
      <c r="AK16" s="46">
        <v>28718303.8471196</v>
      </c>
      <c r="AL16" s="46">
        <v>32895022.708773099</v>
      </c>
      <c r="AM16" s="47">
        <v>37605897.435956903</v>
      </c>
    </row>
    <row r="17" spans="3:39" ht="15" customHeight="1" x14ac:dyDescent="0.25">
      <c r="C17" s="38" t="s">
        <v>7</v>
      </c>
      <c r="D17" s="41">
        <v>34.36</v>
      </c>
      <c r="E17" s="25">
        <v>0.89</v>
      </c>
      <c r="F17" s="25">
        <v>0.99</v>
      </c>
      <c r="G17" s="25">
        <v>1.0900000000000001</v>
      </c>
      <c r="H17" s="25">
        <v>1.46</v>
      </c>
      <c r="I17" s="25">
        <v>2.25</v>
      </c>
      <c r="J17" s="25">
        <v>2.88</v>
      </c>
      <c r="K17" s="25">
        <v>3.4</v>
      </c>
      <c r="L17" s="25" t="s">
        <v>2</v>
      </c>
      <c r="M17" s="25">
        <v>3.94</v>
      </c>
      <c r="AI17" s="46" t="s">
        <v>40</v>
      </c>
      <c r="AJ17" s="46" t="s">
        <v>49</v>
      </c>
      <c r="AK17" s="46">
        <v>28402091.891791601</v>
      </c>
      <c r="AL17" s="46">
        <v>32551526.3668851</v>
      </c>
      <c r="AM17" s="47">
        <v>37269166.126900896</v>
      </c>
    </row>
    <row r="18" spans="3:39" ht="15" customHeight="1" x14ac:dyDescent="0.25">
      <c r="C18" s="39"/>
      <c r="D18" s="41"/>
      <c r="E18" s="23">
        <v>2.5999999999999999E-2</v>
      </c>
      <c r="F18" s="23">
        <v>2.9000000000000001E-2</v>
      </c>
      <c r="G18" s="23">
        <v>3.2000000000000001E-2</v>
      </c>
      <c r="H18" s="23">
        <v>4.2000000000000003E-2</v>
      </c>
      <c r="I18" s="23">
        <v>6.5000000000000002E-2</v>
      </c>
      <c r="J18" s="23">
        <v>8.4000000000000005E-2</v>
      </c>
      <c r="K18" s="23">
        <v>9.9000000000000005E-2</v>
      </c>
      <c r="L18" s="24" t="s">
        <v>2</v>
      </c>
      <c r="M18" s="26">
        <v>0.115</v>
      </c>
      <c r="AI18" s="46" t="s">
        <v>40</v>
      </c>
      <c r="AJ18" s="46" t="s">
        <v>50</v>
      </c>
      <c r="AK18" s="46">
        <v>28010958.089365602</v>
      </c>
      <c r="AL18" s="46">
        <v>32102303.975736201</v>
      </c>
      <c r="AM18" s="47">
        <v>36896217.478834897</v>
      </c>
    </row>
    <row r="19" spans="3:39" ht="15" customHeight="1" x14ac:dyDescent="0.25">
      <c r="C19" s="38" t="s">
        <v>8</v>
      </c>
      <c r="D19" s="41">
        <v>28.62</v>
      </c>
      <c r="E19" s="25">
        <v>0.65</v>
      </c>
      <c r="F19" s="25">
        <v>0.74</v>
      </c>
      <c r="G19" s="25">
        <v>0.82</v>
      </c>
      <c r="H19" s="25">
        <v>1.17</v>
      </c>
      <c r="I19" s="25">
        <v>1.84</v>
      </c>
      <c r="J19" s="25">
        <v>2.27</v>
      </c>
      <c r="K19" s="25">
        <v>2.65</v>
      </c>
      <c r="L19" s="25">
        <v>2.98</v>
      </c>
      <c r="M19" s="25" t="s">
        <v>2</v>
      </c>
      <c r="AI19" s="46" t="s">
        <v>40</v>
      </c>
      <c r="AJ19" s="46" t="s">
        <v>51</v>
      </c>
      <c r="AK19" s="46">
        <v>27462149.441326801</v>
      </c>
      <c r="AL19" s="46">
        <v>31477487.3095163</v>
      </c>
      <c r="AM19" s="47">
        <v>36373097.604895197</v>
      </c>
    </row>
    <row r="20" spans="3:39" ht="15" customHeight="1" x14ac:dyDescent="0.25">
      <c r="C20" s="39"/>
      <c r="D20" s="41"/>
      <c r="E20" s="23">
        <v>2.3E-2</v>
      </c>
      <c r="F20" s="23">
        <v>2.5999999999999999E-2</v>
      </c>
      <c r="G20" s="23">
        <v>2.9000000000000001E-2</v>
      </c>
      <c r="H20" s="23">
        <v>4.1000000000000002E-2</v>
      </c>
      <c r="I20" s="23">
        <v>6.4000000000000001E-2</v>
      </c>
      <c r="J20" s="23">
        <v>7.9000000000000001E-2</v>
      </c>
      <c r="K20" s="23">
        <v>9.2999999999999999E-2</v>
      </c>
      <c r="L20" s="23">
        <v>0.104</v>
      </c>
      <c r="M20" s="24" t="s">
        <v>2</v>
      </c>
      <c r="AI20" s="46" t="s">
        <v>40</v>
      </c>
      <c r="AJ20" s="46" t="s">
        <v>52</v>
      </c>
      <c r="AK20" s="46">
        <v>26986496.680367101</v>
      </c>
      <c r="AL20" s="46">
        <v>30956312.289276499</v>
      </c>
      <c r="AM20" s="47">
        <v>35928509.057854302</v>
      </c>
    </row>
    <row r="21" spans="3:39" ht="15" customHeight="1" x14ac:dyDescent="0.25">
      <c r="C21" s="38" t="s">
        <v>9</v>
      </c>
      <c r="D21" s="41">
        <v>24.72</v>
      </c>
      <c r="E21" s="25">
        <v>0.63</v>
      </c>
      <c r="F21" s="25">
        <v>0.72</v>
      </c>
      <c r="G21" s="25">
        <v>0.8</v>
      </c>
      <c r="H21" s="25">
        <v>1.02</v>
      </c>
      <c r="I21" s="25">
        <v>1.55</v>
      </c>
      <c r="J21" s="25">
        <v>1.96</v>
      </c>
      <c r="K21" s="25">
        <v>2.2999999999999998</v>
      </c>
      <c r="L21" s="25" t="s">
        <v>2</v>
      </c>
      <c r="M21" s="25">
        <v>2.66</v>
      </c>
      <c r="AI21" s="46" t="s">
        <v>40</v>
      </c>
      <c r="AJ21" s="46" t="s">
        <v>53</v>
      </c>
      <c r="AK21" s="46">
        <v>26476397.450500201</v>
      </c>
      <c r="AL21" s="46">
        <v>30420635.8707343</v>
      </c>
      <c r="AM21" s="47">
        <v>35462995.730887704</v>
      </c>
    </row>
    <row r="22" spans="3:39" ht="15" customHeight="1" x14ac:dyDescent="0.25">
      <c r="C22" s="39"/>
      <c r="D22" s="41"/>
      <c r="E22" s="23">
        <v>2.5000000000000001E-2</v>
      </c>
      <c r="F22" s="23">
        <v>2.9000000000000001E-2</v>
      </c>
      <c r="G22" s="23">
        <v>3.2000000000000001E-2</v>
      </c>
      <c r="H22" s="23">
        <v>4.1000000000000002E-2</v>
      </c>
      <c r="I22" s="23">
        <v>6.3E-2</v>
      </c>
      <c r="J22" s="23">
        <v>7.9000000000000001E-2</v>
      </c>
      <c r="K22" s="23">
        <v>9.2999999999999999E-2</v>
      </c>
      <c r="L22" s="24" t="s">
        <v>2</v>
      </c>
      <c r="M22" s="26">
        <v>0.108</v>
      </c>
      <c r="AI22" s="46" t="s">
        <v>54</v>
      </c>
      <c r="AJ22" s="46" t="s">
        <v>41</v>
      </c>
      <c r="AK22" s="46">
        <v>29713165.513489299</v>
      </c>
      <c r="AL22" s="46">
        <v>34359425.453157097</v>
      </c>
      <c r="AM22" s="47">
        <v>39021528.567310303</v>
      </c>
    </row>
    <row r="23" spans="3:39" x14ac:dyDescent="0.25">
      <c r="AI23" s="46" t="s">
        <v>54</v>
      </c>
      <c r="AJ23" s="46" t="s">
        <v>42</v>
      </c>
      <c r="AK23" s="46">
        <v>29286101.504073299</v>
      </c>
      <c r="AL23" s="46">
        <v>33561447.574217796</v>
      </c>
      <c r="AM23" s="47">
        <v>38246871.343338802</v>
      </c>
    </row>
    <row r="24" spans="3:39" x14ac:dyDescent="0.25">
      <c r="AI24" s="46" t="s">
        <v>54</v>
      </c>
      <c r="AJ24" s="46" t="s">
        <v>43</v>
      </c>
      <c r="AK24" s="46">
        <v>29277536.681335598</v>
      </c>
      <c r="AL24" s="46">
        <v>33543585.963474799</v>
      </c>
      <c r="AM24" s="47">
        <v>38244665.319237202</v>
      </c>
    </row>
    <row r="25" spans="3:39" x14ac:dyDescent="0.25">
      <c r="AI25" s="46" t="s">
        <v>54</v>
      </c>
      <c r="AJ25" s="46" t="s">
        <v>44</v>
      </c>
      <c r="AK25" s="46">
        <v>29261217.006202798</v>
      </c>
      <c r="AL25" s="46">
        <v>33510398.792360701</v>
      </c>
      <c r="AM25" s="47">
        <v>38241980.710229203</v>
      </c>
    </row>
    <row r="26" spans="3:39" x14ac:dyDescent="0.25">
      <c r="AI26" s="46" t="s">
        <v>54</v>
      </c>
      <c r="AJ26" s="46" t="s">
        <v>45</v>
      </c>
      <c r="AK26" s="46">
        <v>29201085.646930002</v>
      </c>
      <c r="AL26" s="46">
        <v>33416224.198187798</v>
      </c>
      <c r="AM26" s="47">
        <v>38156308.005657598</v>
      </c>
    </row>
    <row r="27" spans="3:39" x14ac:dyDescent="0.25">
      <c r="AI27" s="46" t="s">
        <v>54</v>
      </c>
      <c r="AJ27" s="46" t="s">
        <v>46</v>
      </c>
      <c r="AK27" s="46">
        <v>29142796.791074101</v>
      </c>
      <c r="AL27" s="46">
        <v>33313922.843511902</v>
      </c>
      <c r="AM27" s="47">
        <v>38067454.043025002</v>
      </c>
    </row>
    <row r="28" spans="3:39" x14ac:dyDescent="0.25">
      <c r="AI28" s="46" t="s">
        <v>54</v>
      </c>
      <c r="AJ28" s="46" t="s">
        <v>47</v>
      </c>
      <c r="AK28" s="46">
        <v>28984690.8134101</v>
      </c>
      <c r="AL28" s="46">
        <v>33114954.231045399</v>
      </c>
      <c r="AM28" s="47">
        <v>37899088.388497002</v>
      </c>
    </row>
    <row r="29" spans="3:39" x14ac:dyDescent="0.25">
      <c r="AI29" s="46" t="s">
        <v>54</v>
      </c>
      <c r="AJ29" s="46" t="s">
        <v>48</v>
      </c>
      <c r="AK29" s="46">
        <v>28826584.835746098</v>
      </c>
      <c r="AL29" s="46">
        <v>32943312.006471898</v>
      </c>
      <c r="AM29" s="47">
        <v>37730722.733969003</v>
      </c>
    </row>
    <row r="30" spans="3:39" x14ac:dyDescent="0.25">
      <c r="AI30" s="46" t="s">
        <v>54</v>
      </c>
      <c r="AJ30" s="46" t="s">
        <v>49</v>
      </c>
      <c r="AK30" s="46">
        <v>28510372.880418099</v>
      </c>
      <c r="AL30" s="46">
        <v>32599815.664583899</v>
      </c>
      <c r="AM30" s="47">
        <v>37393991.4249129</v>
      </c>
    </row>
    <row r="31" spans="3:39" x14ac:dyDescent="0.25">
      <c r="AI31" s="46" t="s">
        <v>54</v>
      </c>
      <c r="AJ31" s="46" t="s">
        <v>50</v>
      </c>
      <c r="AK31" s="46">
        <v>28119239.0779921</v>
      </c>
      <c r="AL31" s="46">
        <v>32150593.273435</v>
      </c>
      <c r="AM31" s="47">
        <v>37021042.776846901</v>
      </c>
    </row>
    <row r="32" spans="3:39" x14ac:dyDescent="0.25">
      <c r="AI32" s="46" t="s">
        <v>54</v>
      </c>
      <c r="AJ32" s="46" t="s">
        <v>51</v>
      </c>
      <c r="AK32" s="46">
        <v>27570430.429953299</v>
      </c>
      <c r="AL32" s="46">
        <v>31525776.607215099</v>
      </c>
      <c r="AM32" s="47">
        <v>36497922.902907297</v>
      </c>
    </row>
    <row r="33" spans="1:42" x14ac:dyDescent="0.25">
      <c r="AI33" s="46" t="s">
        <v>54</v>
      </c>
      <c r="AJ33" s="46" t="s">
        <v>52</v>
      </c>
      <c r="AK33" s="46">
        <v>27094777.6689936</v>
      </c>
      <c r="AL33" s="46">
        <v>31004601.586975299</v>
      </c>
      <c r="AM33" s="47">
        <v>36053334.355866298</v>
      </c>
    </row>
    <row r="34" spans="1:42" x14ac:dyDescent="0.25">
      <c r="AI34" s="46" t="s">
        <v>54</v>
      </c>
      <c r="AJ34" s="46" t="s">
        <v>53</v>
      </c>
      <c r="AK34" s="46">
        <v>26584678.4391266</v>
      </c>
      <c r="AL34" s="46">
        <v>30468925.1684331</v>
      </c>
      <c r="AM34" s="47">
        <v>35587821.028899796</v>
      </c>
    </row>
    <row r="37" spans="1:42" x14ac:dyDescent="0.25">
      <c r="A37" s="3" t="s">
        <v>10</v>
      </c>
      <c r="N37" s="3" t="s">
        <v>13</v>
      </c>
    </row>
    <row r="39" spans="1:42" x14ac:dyDescent="0.25">
      <c r="C39" s="36" t="s">
        <v>11</v>
      </c>
      <c r="D39" s="36"/>
      <c r="E39" s="36"/>
      <c r="F39" s="36"/>
      <c r="G39" s="36"/>
      <c r="H39" s="36"/>
      <c r="I39" s="36"/>
      <c r="J39" s="36"/>
      <c r="K39" s="36"/>
      <c r="L39" s="36"/>
      <c r="N39">
        <v>0</v>
      </c>
    </row>
    <row r="40" spans="1:42" x14ac:dyDescent="0.25">
      <c r="B40" t="s">
        <v>0</v>
      </c>
      <c r="C40" s="2">
        <v>0</v>
      </c>
      <c r="D40" s="2">
        <f>E6</f>
        <v>4</v>
      </c>
      <c r="E40" s="2">
        <f t="shared" ref="E40:L40" si="0">F6</f>
        <v>6</v>
      </c>
      <c r="F40" s="2">
        <f t="shared" si="0"/>
        <v>8</v>
      </c>
      <c r="G40" s="2">
        <f t="shared" si="0"/>
        <v>10</v>
      </c>
      <c r="H40" s="2">
        <f t="shared" si="0"/>
        <v>15</v>
      </c>
      <c r="I40" s="2">
        <f t="shared" si="0"/>
        <v>20</v>
      </c>
      <c r="J40" s="2">
        <f t="shared" si="0"/>
        <v>25</v>
      </c>
      <c r="K40" s="2">
        <f t="shared" si="0"/>
        <v>30</v>
      </c>
      <c r="L40" s="2">
        <f t="shared" si="0"/>
        <v>31</v>
      </c>
      <c r="N40" t="s">
        <v>0</v>
      </c>
      <c r="O40" s="2" t="s">
        <v>12</v>
      </c>
      <c r="Q40" s="2" t="s">
        <v>0</v>
      </c>
      <c r="R40" s="2">
        <v>4</v>
      </c>
      <c r="T40" s="2" t="s">
        <v>0</v>
      </c>
      <c r="U40" s="2">
        <v>6</v>
      </c>
      <c r="W40" s="2" t="s">
        <v>0</v>
      </c>
      <c r="X40" s="2">
        <v>8</v>
      </c>
      <c r="Z40" s="2" t="s">
        <v>0</v>
      </c>
      <c r="AA40" s="2">
        <v>10</v>
      </c>
      <c r="AC40" s="2" t="s">
        <v>0</v>
      </c>
      <c r="AD40">
        <v>15</v>
      </c>
      <c r="AF40" s="2" t="s">
        <v>0</v>
      </c>
      <c r="AG40">
        <v>20</v>
      </c>
      <c r="AI40" s="2" t="s">
        <v>0</v>
      </c>
      <c r="AJ40">
        <v>25</v>
      </c>
      <c r="AL40" s="2" t="s">
        <v>0</v>
      </c>
      <c r="AM40">
        <v>30</v>
      </c>
      <c r="AO40" s="2" t="s">
        <v>0</v>
      </c>
      <c r="AP40">
        <v>31</v>
      </c>
    </row>
    <row r="41" spans="1:42" x14ac:dyDescent="0.25">
      <c r="B41" t="str">
        <f>C7</f>
        <v>March</v>
      </c>
      <c r="C41" s="2">
        <f>D7</f>
        <v>17.850000000000001</v>
      </c>
      <c r="D41" s="2">
        <f>E7</f>
        <v>0.48</v>
      </c>
      <c r="E41" s="2">
        <f t="shared" ref="E41:L41" si="1">F7</f>
        <v>0.55000000000000004</v>
      </c>
      <c r="F41" s="2">
        <f t="shared" si="1"/>
        <v>0.61</v>
      </c>
      <c r="G41" s="2">
        <f t="shared" si="1"/>
        <v>0.78</v>
      </c>
      <c r="H41" s="2">
        <f t="shared" si="1"/>
        <v>1.1599999999999999</v>
      </c>
      <c r="I41" s="2">
        <f t="shared" si="1"/>
        <v>1.47</v>
      </c>
      <c r="J41" s="2">
        <f t="shared" si="1"/>
        <v>1.72</v>
      </c>
      <c r="K41" s="2" t="str">
        <f t="shared" si="1"/>
        <v>-</v>
      </c>
      <c r="L41" s="2">
        <f t="shared" si="1"/>
        <v>1.98</v>
      </c>
      <c r="N41" t="s">
        <v>4</v>
      </c>
      <c r="O41" s="2">
        <v>15.57</v>
      </c>
      <c r="Q41" s="2" t="s">
        <v>3</v>
      </c>
      <c r="R41" s="2">
        <v>0.44</v>
      </c>
      <c r="T41" s="2" t="s">
        <v>3</v>
      </c>
      <c r="U41" s="2">
        <v>0.52</v>
      </c>
      <c r="W41" s="2" t="s">
        <v>3</v>
      </c>
      <c r="X41" s="2">
        <v>0.6</v>
      </c>
      <c r="Z41" s="2" t="s">
        <v>1</v>
      </c>
      <c r="AA41" s="2">
        <v>0.78</v>
      </c>
      <c r="AC41" s="2" t="s">
        <v>1</v>
      </c>
      <c r="AD41">
        <v>1.1599999999999999</v>
      </c>
      <c r="AF41" s="2" t="s">
        <v>3</v>
      </c>
      <c r="AG41">
        <v>1.42</v>
      </c>
      <c r="AI41" s="2" t="s">
        <v>3</v>
      </c>
      <c r="AJ41">
        <v>1.64</v>
      </c>
      <c r="AL41" s="2" t="s">
        <v>3</v>
      </c>
      <c r="AM41">
        <v>1.84</v>
      </c>
      <c r="AO41" s="2" t="s">
        <v>1</v>
      </c>
      <c r="AP41">
        <v>1.98</v>
      </c>
    </row>
    <row r="42" spans="1:42" x14ac:dyDescent="0.25">
      <c r="B42" t="str">
        <f>C9</f>
        <v>April</v>
      </c>
      <c r="C42" s="2">
        <f>D9</f>
        <v>17.440000000000001</v>
      </c>
      <c r="D42" s="2">
        <f>E9</f>
        <v>0.44</v>
      </c>
      <c r="E42" s="2">
        <f t="shared" ref="E42:L42" si="2">F9</f>
        <v>0.52</v>
      </c>
      <c r="F42" s="2">
        <f t="shared" si="2"/>
        <v>0.6</v>
      </c>
      <c r="G42" s="2">
        <f t="shared" si="2"/>
        <v>0.79</v>
      </c>
      <c r="H42" s="2">
        <f t="shared" si="2"/>
        <v>1.1599999999999999</v>
      </c>
      <c r="I42" s="2">
        <f t="shared" si="2"/>
        <v>1.42</v>
      </c>
      <c r="J42" s="2">
        <f t="shared" si="2"/>
        <v>1.64</v>
      </c>
      <c r="K42" s="2">
        <f t="shared" si="2"/>
        <v>1.84</v>
      </c>
      <c r="L42" s="2" t="str">
        <f t="shared" si="2"/>
        <v>-</v>
      </c>
      <c r="N42" t="s">
        <v>3</v>
      </c>
      <c r="O42" s="2">
        <v>17.440000000000001</v>
      </c>
      <c r="Q42" s="2" t="s">
        <v>1</v>
      </c>
      <c r="R42" s="2">
        <v>0.48</v>
      </c>
      <c r="T42" s="2" t="s">
        <v>1</v>
      </c>
      <c r="U42" s="2">
        <v>0.55000000000000004</v>
      </c>
      <c r="W42" s="2" t="s">
        <v>1</v>
      </c>
      <c r="X42" s="2">
        <v>0.61</v>
      </c>
      <c r="Z42" s="2" t="s">
        <v>3</v>
      </c>
      <c r="AA42" s="2">
        <v>0.79</v>
      </c>
      <c r="AC42" s="2" t="s">
        <v>3</v>
      </c>
      <c r="AD42">
        <v>1.1599999999999999</v>
      </c>
      <c r="AF42" s="2" t="s">
        <v>1</v>
      </c>
      <c r="AG42">
        <v>1.47</v>
      </c>
      <c r="AI42" s="2" t="s">
        <v>1</v>
      </c>
      <c r="AJ42">
        <v>1.72</v>
      </c>
      <c r="AL42" s="2" t="s">
        <v>5</v>
      </c>
      <c r="AM42">
        <v>2.09</v>
      </c>
      <c r="AO42" s="2" t="s">
        <v>4</v>
      </c>
      <c r="AP42">
        <v>2.39</v>
      </c>
    </row>
    <row r="43" spans="1:42" x14ac:dyDescent="0.25">
      <c r="B43" t="str">
        <f>C11</f>
        <v>May</v>
      </c>
      <c r="C43" s="2">
        <f>D11</f>
        <v>15.57</v>
      </c>
      <c r="D43" s="2">
        <f>E11</f>
        <v>0.71</v>
      </c>
      <c r="E43" s="2">
        <f t="shared" ref="E43:L43" si="3">F11</f>
        <v>0.8</v>
      </c>
      <c r="F43" s="2">
        <f t="shared" si="3"/>
        <v>0.87</v>
      </c>
      <c r="G43" s="2">
        <f t="shared" si="3"/>
        <v>1.07</v>
      </c>
      <c r="H43" s="2">
        <f t="shared" si="3"/>
        <v>1.51</v>
      </c>
      <c r="I43" s="2">
        <f t="shared" si="3"/>
        <v>1.87</v>
      </c>
      <c r="J43" s="2">
        <f t="shared" si="3"/>
        <v>2.11</v>
      </c>
      <c r="K43" s="2" t="str">
        <f t="shared" si="3"/>
        <v>-</v>
      </c>
      <c r="L43" s="2">
        <f t="shared" si="3"/>
        <v>2.39</v>
      </c>
      <c r="N43" t="s">
        <v>1</v>
      </c>
      <c r="O43" s="2">
        <v>17.850000000000001</v>
      </c>
      <c r="Q43" s="2" t="s">
        <v>5</v>
      </c>
      <c r="R43" s="2">
        <v>0.51</v>
      </c>
      <c r="T43" s="2" t="s">
        <v>5</v>
      </c>
      <c r="U43" s="2">
        <v>0.59</v>
      </c>
      <c r="W43" s="2" t="s">
        <v>5</v>
      </c>
      <c r="X43" s="2">
        <v>0.68</v>
      </c>
      <c r="Z43" s="2" t="s">
        <v>5</v>
      </c>
      <c r="AA43" s="2">
        <v>0.9</v>
      </c>
      <c r="AC43" s="2" t="s">
        <v>5</v>
      </c>
      <c r="AD43">
        <v>1.32</v>
      </c>
      <c r="AF43" s="2" t="s">
        <v>5</v>
      </c>
      <c r="AG43">
        <v>1.62</v>
      </c>
      <c r="AI43" s="2" t="s">
        <v>5</v>
      </c>
      <c r="AJ43">
        <v>1.87</v>
      </c>
      <c r="AL43" s="2" t="s">
        <v>8</v>
      </c>
      <c r="AM43">
        <v>2.98</v>
      </c>
      <c r="AO43" s="2" t="s">
        <v>9</v>
      </c>
      <c r="AP43">
        <v>2.66</v>
      </c>
    </row>
    <row r="44" spans="1:42" x14ac:dyDescent="0.25">
      <c r="B44" t="str">
        <f>C13</f>
        <v>June</v>
      </c>
      <c r="C44" s="2">
        <f>D13</f>
        <v>19.579999999999998</v>
      </c>
      <c r="D44" s="2">
        <f>E13</f>
        <v>0.51</v>
      </c>
      <c r="E44" s="2">
        <f t="shared" ref="E44:L44" si="4">F13</f>
        <v>0.59</v>
      </c>
      <c r="F44" s="2">
        <f t="shared" si="4"/>
        <v>0.68</v>
      </c>
      <c r="G44" s="2">
        <f t="shared" si="4"/>
        <v>0.9</v>
      </c>
      <c r="H44" s="2">
        <f t="shared" si="4"/>
        <v>1.32</v>
      </c>
      <c r="I44" s="2">
        <f t="shared" si="4"/>
        <v>1.62</v>
      </c>
      <c r="J44" s="2">
        <f t="shared" si="4"/>
        <v>1.87</v>
      </c>
      <c r="K44" s="2">
        <f t="shared" si="4"/>
        <v>2.09</v>
      </c>
      <c r="L44" s="2" t="str">
        <f t="shared" si="4"/>
        <v>-</v>
      </c>
      <c r="N44" t="s">
        <v>5</v>
      </c>
      <c r="O44" s="2">
        <v>19.579999999999998</v>
      </c>
      <c r="Q44" s="2" t="s">
        <v>9</v>
      </c>
      <c r="R44" s="2">
        <v>0.63</v>
      </c>
      <c r="T44" s="2" t="s">
        <v>9</v>
      </c>
      <c r="U44" s="2">
        <v>0.72</v>
      </c>
      <c r="W44" s="2" t="s">
        <v>9</v>
      </c>
      <c r="X44" s="2">
        <v>0.8</v>
      </c>
      <c r="Z44" s="2" t="s">
        <v>9</v>
      </c>
      <c r="AA44" s="2">
        <v>1.02</v>
      </c>
      <c r="AC44" s="2" t="s">
        <v>4</v>
      </c>
      <c r="AD44">
        <v>1.51</v>
      </c>
      <c r="AF44" s="2" t="s">
        <v>4</v>
      </c>
      <c r="AG44">
        <v>1.87</v>
      </c>
      <c r="AI44" s="2" t="s">
        <v>4</v>
      </c>
      <c r="AJ44">
        <v>2.11</v>
      </c>
      <c r="AL44" s="2" t="s">
        <v>1</v>
      </c>
      <c r="AM44" t="s">
        <v>2</v>
      </c>
      <c r="AO44" s="2" t="s">
        <v>6</v>
      </c>
      <c r="AP44">
        <v>3.22</v>
      </c>
    </row>
    <row r="45" spans="1:42" x14ac:dyDescent="0.25">
      <c r="B45" t="str">
        <f>C15</f>
        <v>July</v>
      </c>
      <c r="C45" s="2">
        <f>D15</f>
        <v>28.9</v>
      </c>
      <c r="D45" s="2">
        <f>E15</f>
        <v>0.82</v>
      </c>
      <c r="E45" s="2">
        <f t="shared" ref="E45:L45" si="5">F15</f>
        <v>0.93</v>
      </c>
      <c r="F45" s="2">
        <f t="shared" si="5"/>
        <v>1.02</v>
      </c>
      <c r="G45" s="2">
        <f t="shared" si="5"/>
        <v>1.29</v>
      </c>
      <c r="H45" s="2">
        <f t="shared" si="5"/>
        <v>1.91</v>
      </c>
      <c r="I45" s="2">
        <f t="shared" si="5"/>
        <v>2.39</v>
      </c>
      <c r="J45" s="2">
        <f t="shared" si="5"/>
        <v>2.8</v>
      </c>
      <c r="K45" s="2" t="str">
        <f t="shared" si="5"/>
        <v>-</v>
      </c>
      <c r="L45" s="2">
        <f t="shared" si="5"/>
        <v>3.22</v>
      </c>
      <c r="N45" t="s">
        <v>9</v>
      </c>
      <c r="O45" s="2">
        <v>24.72</v>
      </c>
      <c r="Q45" s="2" t="s">
        <v>8</v>
      </c>
      <c r="R45" s="2">
        <v>0.65</v>
      </c>
      <c r="T45" s="2" t="s">
        <v>8</v>
      </c>
      <c r="U45" s="2">
        <v>0.74</v>
      </c>
      <c r="W45" s="2" t="s">
        <v>8</v>
      </c>
      <c r="X45" s="2">
        <v>0.82</v>
      </c>
      <c r="Z45" s="2" t="s">
        <v>4</v>
      </c>
      <c r="AA45" s="2">
        <v>1.07</v>
      </c>
      <c r="AC45" s="2" t="s">
        <v>9</v>
      </c>
      <c r="AD45">
        <v>1.55</v>
      </c>
      <c r="AF45" s="2" t="s">
        <v>9</v>
      </c>
      <c r="AG45">
        <v>1.96</v>
      </c>
      <c r="AI45" s="2" t="s">
        <v>9</v>
      </c>
      <c r="AJ45">
        <v>2.2999999999999998</v>
      </c>
      <c r="AL45" s="2" t="s">
        <v>4</v>
      </c>
      <c r="AM45" t="s">
        <v>2</v>
      </c>
      <c r="AO45" s="2" t="s">
        <v>7</v>
      </c>
      <c r="AP45">
        <v>3.94</v>
      </c>
    </row>
    <row r="46" spans="1:42" x14ac:dyDescent="0.25">
      <c r="B46" t="str">
        <f>C17</f>
        <v>August</v>
      </c>
      <c r="C46" s="2">
        <f>D17</f>
        <v>34.36</v>
      </c>
      <c r="D46" s="2">
        <f>E17</f>
        <v>0.89</v>
      </c>
      <c r="E46" s="2">
        <f t="shared" ref="E46:L46" si="6">F17</f>
        <v>0.99</v>
      </c>
      <c r="F46" s="2">
        <f t="shared" si="6"/>
        <v>1.0900000000000001</v>
      </c>
      <c r="G46" s="2">
        <f t="shared" si="6"/>
        <v>1.46</v>
      </c>
      <c r="H46" s="2">
        <f t="shared" si="6"/>
        <v>2.25</v>
      </c>
      <c r="I46" s="2">
        <f t="shared" si="6"/>
        <v>2.88</v>
      </c>
      <c r="J46" s="2">
        <f t="shared" si="6"/>
        <v>3.4</v>
      </c>
      <c r="K46" s="2" t="str">
        <f t="shared" si="6"/>
        <v>-</v>
      </c>
      <c r="L46" s="2">
        <f t="shared" si="6"/>
        <v>3.94</v>
      </c>
      <c r="N46" t="s">
        <v>8</v>
      </c>
      <c r="O46" s="2">
        <v>28.62</v>
      </c>
      <c r="Q46" s="2" t="s">
        <v>4</v>
      </c>
      <c r="R46" s="2">
        <v>0.71</v>
      </c>
      <c r="T46" s="2" t="s">
        <v>4</v>
      </c>
      <c r="U46" s="2">
        <v>0.8</v>
      </c>
      <c r="W46" s="2" t="s">
        <v>4</v>
      </c>
      <c r="X46" s="2">
        <v>0.87</v>
      </c>
      <c r="Z46" s="2" t="s">
        <v>8</v>
      </c>
      <c r="AA46" s="2">
        <v>1.17</v>
      </c>
      <c r="AC46" s="2" t="s">
        <v>8</v>
      </c>
      <c r="AD46">
        <v>1.84</v>
      </c>
      <c r="AF46" s="2" t="s">
        <v>8</v>
      </c>
      <c r="AG46">
        <v>2.27</v>
      </c>
      <c r="AI46" s="2" t="s">
        <v>8</v>
      </c>
      <c r="AJ46">
        <v>2.65</v>
      </c>
      <c r="AL46" s="2" t="s">
        <v>6</v>
      </c>
      <c r="AM46" t="s">
        <v>2</v>
      </c>
      <c r="AO46" s="2" t="s">
        <v>3</v>
      </c>
      <c r="AP46" t="s">
        <v>2</v>
      </c>
    </row>
    <row r="47" spans="1:42" x14ac:dyDescent="0.25">
      <c r="B47" t="str">
        <f>C19</f>
        <v>September</v>
      </c>
      <c r="C47" s="2">
        <f>D19</f>
        <v>28.62</v>
      </c>
      <c r="D47" s="2">
        <f>E19</f>
        <v>0.65</v>
      </c>
      <c r="E47" s="2">
        <f t="shared" ref="E47:L47" si="7">F19</f>
        <v>0.74</v>
      </c>
      <c r="F47" s="2">
        <f t="shared" si="7"/>
        <v>0.82</v>
      </c>
      <c r="G47" s="2">
        <f t="shared" si="7"/>
        <v>1.17</v>
      </c>
      <c r="H47" s="2">
        <f t="shared" si="7"/>
        <v>1.84</v>
      </c>
      <c r="I47" s="2">
        <f t="shared" si="7"/>
        <v>2.27</v>
      </c>
      <c r="J47" s="2">
        <f t="shared" si="7"/>
        <v>2.65</v>
      </c>
      <c r="K47" s="2">
        <f t="shared" si="7"/>
        <v>2.98</v>
      </c>
      <c r="L47" s="2" t="str">
        <f t="shared" si="7"/>
        <v>-</v>
      </c>
      <c r="N47" t="s">
        <v>6</v>
      </c>
      <c r="O47" s="2">
        <v>28.9</v>
      </c>
      <c r="Q47" s="2" t="s">
        <v>6</v>
      </c>
      <c r="R47" s="2">
        <v>0.82</v>
      </c>
      <c r="T47" s="2" t="s">
        <v>6</v>
      </c>
      <c r="U47" s="2">
        <v>0.93</v>
      </c>
      <c r="W47" s="2" t="s">
        <v>6</v>
      </c>
      <c r="X47" s="2">
        <v>1.02</v>
      </c>
      <c r="Z47" s="2" t="s">
        <v>6</v>
      </c>
      <c r="AA47" s="2">
        <v>1.29</v>
      </c>
      <c r="AC47" s="2" t="s">
        <v>6</v>
      </c>
      <c r="AD47">
        <v>1.91</v>
      </c>
      <c r="AF47" s="2" t="s">
        <v>6</v>
      </c>
      <c r="AG47">
        <v>2.39</v>
      </c>
      <c r="AI47" s="2" t="s">
        <v>6</v>
      </c>
      <c r="AJ47">
        <v>2.8</v>
      </c>
      <c r="AL47" s="2" t="s">
        <v>7</v>
      </c>
      <c r="AM47" t="s">
        <v>2</v>
      </c>
      <c r="AO47" s="2" t="s">
        <v>5</v>
      </c>
      <c r="AP47" t="s">
        <v>2</v>
      </c>
    </row>
    <row r="48" spans="1:42" x14ac:dyDescent="0.25">
      <c r="B48" t="str">
        <f>C21</f>
        <v>October</v>
      </c>
      <c r="C48" s="2">
        <f>D21</f>
        <v>24.72</v>
      </c>
      <c r="D48" s="2">
        <f>E21</f>
        <v>0.63</v>
      </c>
      <c r="E48" s="2">
        <f t="shared" ref="E48:L48" si="8">F21</f>
        <v>0.72</v>
      </c>
      <c r="F48" s="2">
        <f t="shared" si="8"/>
        <v>0.8</v>
      </c>
      <c r="G48" s="2">
        <f t="shared" si="8"/>
        <v>1.02</v>
      </c>
      <c r="H48" s="2">
        <f t="shared" si="8"/>
        <v>1.55</v>
      </c>
      <c r="I48" s="2">
        <f t="shared" si="8"/>
        <v>1.96</v>
      </c>
      <c r="J48" s="2">
        <f t="shared" si="8"/>
        <v>2.2999999999999998</v>
      </c>
      <c r="K48" s="2" t="str">
        <f t="shared" si="8"/>
        <v>-</v>
      </c>
      <c r="L48" s="2">
        <f t="shared" si="8"/>
        <v>2.66</v>
      </c>
      <c r="N48" t="s">
        <v>7</v>
      </c>
      <c r="O48" s="2">
        <v>34.36</v>
      </c>
      <c r="Q48" s="2" t="s">
        <v>7</v>
      </c>
      <c r="R48" s="2">
        <v>0.89</v>
      </c>
      <c r="T48" s="2" t="s">
        <v>7</v>
      </c>
      <c r="U48" s="2">
        <v>0.99</v>
      </c>
      <c r="W48" s="2" t="s">
        <v>7</v>
      </c>
      <c r="X48" s="2">
        <v>1.0900000000000001</v>
      </c>
      <c r="Z48" s="2" t="s">
        <v>7</v>
      </c>
      <c r="AA48" s="2">
        <v>1.46</v>
      </c>
      <c r="AC48" s="2" t="s">
        <v>7</v>
      </c>
      <c r="AD48">
        <v>2.25</v>
      </c>
      <c r="AF48" s="2" t="s">
        <v>7</v>
      </c>
      <c r="AG48">
        <v>2.88</v>
      </c>
      <c r="AI48" s="2" t="s">
        <v>7</v>
      </c>
      <c r="AJ48">
        <v>3.4</v>
      </c>
      <c r="AL48" s="2" t="s">
        <v>9</v>
      </c>
      <c r="AM48" t="s">
        <v>2</v>
      </c>
      <c r="AO48" s="2" t="s">
        <v>8</v>
      </c>
      <c r="AP48" t="s">
        <v>2</v>
      </c>
    </row>
    <row r="53" spans="1:4" x14ac:dyDescent="0.25">
      <c r="A53" s="3" t="s">
        <v>33</v>
      </c>
    </row>
    <row r="54" spans="1:4" ht="15.75" thickBot="1" x14ac:dyDescent="0.3"/>
    <row r="55" spans="1:4" ht="79.5" thickBot="1" x14ac:dyDescent="0.3">
      <c r="A55" s="5" t="s">
        <v>0</v>
      </c>
      <c r="B55" s="6" t="s">
        <v>15</v>
      </c>
      <c r="C55" s="6" t="s">
        <v>16</v>
      </c>
      <c r="D55" s="6" t="s">
        <v>17</v>
      </c>
    </row>
    <row r="56" spans="1:4" ht="16.5" thickBot="1" x14ac:dyDescent="0.3">
      <c r="A56" s="7" t="s">
        <v>1</v>
      </c>
      <c r="B56" s="8">
        <v>-7</v>
      </c>
      <c r="C56" s="8">
        <v>-7</v>
      </c>
      <c r="D56" s="8">
        <v>-32</v>
      </c>
    </row>
    <row r="57" spans="1:4" ht="16.5" thickBot="1" x14ac:dyDescent="0.3">
      <c r="A57" s="9" t="s">
        <v>3</v>
      </c>
      <c r="B57" s="10">
        <v>-14</v>
      </c>
      <c r="C57" s="10">
        <v>-14</v>
      </c>
      <c r="D57" s="10">
        <v>-43</v>
      </c>
    </row>
    <row r="58" spans="1:4" ht="16.5" thickBot="1" x14ac:dyDescent="0.3">
      <c r="A58" s="7" t="s">
        <v>4</v>
      </c>
      <c r="B58" s="8">
        <v>-18</v>
      </c>
      <c r="C58" s="8">
        <v>-18</v>
      </c>
      <c r="D58" s="8">
        <v>-50</v>
      </c>
    </row>
    <row r="59" spans="1:4" ht="16.5" thickBot="1" x14ac:dyDescent="0.3">
      <c r="A59" s="9" t="s">
        <v>5</v>
      </c>
      <c r="B59" s="10">
        <v>-15</v>
      </c>
      <c r="C59" s="10">
        <v>-15</v>
      </c>
      <c r="D59" s="10">
        <v>-50</v>
      </c>
    </row>
    <row r="60" spans="1:4" ht="16.5" thickBot="1" x14ac:dyDescent="0.3">
      <c r="A60" s="7" t="s">
        <v>6</v>
      </c>
      <c r="B60" s="8">
        <v>-19</v>
      </c>
      <c r="C60" s="8">
        <v>-19</v>
      </c>
      <c r="D60" s="8">
        <v>-50</v>
      </c>
    </row>
    <row r="61" spans="1:4" ht="16.5" thickBot="1" x14ac:dyDescent="0.3">
      <c r="A61" s="9" t="s">
        <v>7</v>
      </c>
      <c r="B61" s="10">
        <v>10</v>
      </c>
      <c r="C61" s="10">
        <v>10</v>
      </c>
      <c r="D61" s="10">
        <v>-73</v>
      </c>
    </row>
    <row r="62" spans="1:4" ht="16.5" thickBot="1" x14ac:dyDescent="0.3">
      <c r="A62" s="7" t="s">
        <v>8</v>
      </c>
      <c r="B62" s="8">
        <v>2</v>
      </c>
      <c r="C62" s="8">
        <v>2</v>
      </c>
      <c r="D62" s="8">
        <v>-76</v>
      </c>
    </row>
    <row r="63" spans="1:4" ht="16.5" thickBot="1" x14ac:dyDescent="0.3">
      <c r="A63" s="11" t="s">
        <v>9</v>
      </c>
      <c r="B63" s="8">
        <v>-8</v>
      </c>
      <c r="C63" s="8">
        <v>-8</v>
      </c>
      <c r="D63" s="8">
        <v>-42</v>
      </c>
    </row>
  </sheetData>
  <sortState ref="AO29:AP36">
    <sortCondition ref="AP29:AP36"/>
  </sortState>
  <mergeCells count="23">
    <mergeCell ref="AI6:AM6"/>
    <mergeCell ref="R6:R7"/>
    <mergeCell ref="S6:AA6"/>
    <mergeCell ref="E5:M5"/>
    <mergeCell ref="D7:D8"/>
    <mergeCell ref="D9:D10"/>
    <mergeCell ref="D11:D12"/>
    <mergeCell ref="D15:D16"/>
    <mergeCell ref="D5:D6"/>
    <mergeCell ref="D17:D18"/>
    <mergeCell ref="C15:C16"/>
    <mergeCell ref="C17:C18"/>
    <mergeCell ref="D13:D14"/>
    <mergeCell ref="C39:L39"/>
    <mergeCell ref="D19:D20"/>
    <mergeCell ref="D21:D22"/>
    <mergeCell ref="C19:C20"/>
    <mergeCell ref="C21:C22"/>
    <mergeCell ref="C7:C8"/>
    <mergeCell ref="C9:C10"/>
    <mergeCell ref="C11:C12"/>
    <mergeCell ref="C13:C14"/>
    <mergeCell ref="C5:C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49"/>
  <sheetViews>
    <sheetView tabSelected="1" topLeftCell="A4" zoomScale="90" zoomScaleNormal="90" workbookViewId="0">
      <selection activeCell="S27" sqref="S27"/>
    </sheetView>
  </sheetViews>
  <sheetFormatPr defaultRowHeight="15" x14ac:dyDescent="0.25"/>
  <cols>
    <col min="1" max="1" width="9.140625" customWidth="1"/>
    <col min="2" max="2" width="11.7109375" customWidth="1"/>
    <col min="16" max="16" width="3.5703125" customWidth="1"/>
    <col min="17" max="17" width="8.7109375" style="2"/>
    <col min="18" max="19" width="13.28515625" style="2" customWidth="1"/>
    <col min="20" max="21" width="8.7109375" style="2"/>
    <col min="22" max="22" width="9" style="2" customWidth="1"/>
    <col min="23" max="24" width="8.7109375" style="2"/>
    <col min="25" max="25" width="10.140625" style="2" customWidth="1"/>
    <col min="26" max="27" width="8.7109375" style="2"/>
    <col min="28" max="28" width="2.140625" customWidth="1"/>
    <col min="30" max="30" width="7.85546875" customWidth="1"/>
    <col min="31" max="31" width="3.140625" customWidth="1"/>
    <col min="33" max="33" width="8.28515625" customWidth="1"/>
    <col min="34" max="34" width="2.42578125" customWidth="1"/>
    <col min="35" max="35" width="0.5703125" customWidth="1"/>
    <col min="36" max="36" width="16.7109375" customWidth="1"/>
    <col min="37" max="37" width="9.7109375" customWidth="1"/>
  </cols>
  <sheetData>
    <row r="1" spans="1:40" x14ac:dyDescent="0.25">
      <c r="A1" s="1"/>
    </row>
    <row r="3" spans="1:40" x14ac:dyDescent="0.25">
      <c r="A3" s="3" t="s">
        <v>35</v>
      </c>
    </row>
    <row r="5" spans="1:40" ht="15.95" customHeight="1" x14ac:dyDescent="0.25">
      <c r="B5" s="40" t="s">
        <v>0</v>
      </c>
      <c r="C5" s="40" t="s">
        <v>57</v>
      </c>
      <c r="D5" s="42" t="s">
        <v>34</v>
      </c>
      <c r="E5" s="42"/>
      <c r="F5" s="42"/>
      <c r="G5" s="42"/>
      <c r="H5" s="42"/>
      <c r="I5" s="42"/>
      <c r="J5" s="42"/>
      <c r="K5" s="42"/>
      <c r="L5" s="42"/>
    </row>
    <row r="6" spans="1:40" ht="59.25" customHeight="1" x14ac:dyDescent="0.35">
      <c r="B6" s="40"/>
      <c r="C6" s="40"/>
      <c r="D6" s="21">
        <v>4</v>
      </c>
      <c r="E6" s="21">
        <v>6</v>
      </c>
      <c r="F6" s="21">
        <v>8</v>
      </c>
      <c r="G6" s="21">
        <v>10</v>
      </c>
      <c r="H6" s="21">
        <v>15</v>
      </c>
      <c r="I6" s="21">
        <v>20</v>
      </c>
      <c r="J6" s="21">
        <v>25</v>
      </c>
      <c r="K6" s="21">
        <v>30</v>
      </c>
      <c r="L6" s="21">
        <v>31</v>
      </c>
      <c r="AB6" s="2"/>
      <c r="AJ6" s="48" t="s">
        <v>55</v>
      </c>
      <c r="AK6" s="48"/>
      <c r="AL6" s="48"/>
      <c r="AM6" s="48"/>
      <c r="AN6" s="48"/>
    </row>
    <row r="7" spans="1:40" ht="15" customHeight="1" x14ac:dyDescent="0.25">
      <c r="A7" s="55"/>
      <c r="B7" s="56" t="s">
        <v>1</v>
      </c>
      <c r="C7" s="44">
        <v>19.899999999999999</v>
      </c>
      <c r="D7" s="35">
        <v>0.3463781609707996</v>
      </c>
      <c r="E7" s="35">
        <v>0.40374187611990048</v>
      </c>
      <c r="F7" s="35">
        <v>0.45369013938139752</v>
      </c>
      <c r="G7" s="35">
        <v>0.63619271521049736</v>
      </c>
      <c r="H7" s="35">
        <v>1.0433349890714996</v>
      </c>
      <c r="I7" s="35">
        <v>1.3663088083238006</v>
      </c>
      <c r="J7" s="35">
        <v>1.6362876746741981</v>
      </c>
      <c r="K7" s="35" t="s">
        <v>2</v>
      </c>
      <c r="L7" s="35">
        <v>1.91</v>
      </c>
      <c r="S7" s="40" t="s">
        <v>29</v>
      </c>
      <c r="T7" s="42" t="s">
        <v>27</v>
      </c>
      <c r="U7" s="42"/>
      <c r="V7" s="42"/>
      <c r="W7" s="42"/>
      <c r="X7" s="42"/>
      <c r="Y7" s="42"/>
      <c r="Z7" s="42"/>
      <c r="AA7" s="42"/>
      <c r="AB7" s="42"/>
      <c r="AJ7" s="46"/>
      <c r="AK7" s="46"/>
      <c r="AL7" s="46" t="s">
        <v>36</v>
      </c>
      <c r="AM7" s="46" t="s">
        <v>37</v>
      </c>
      <c r="AN7" s="47" t="s">
        <v>38</v>
      </c>
    </row>
    <row r="8" spans="1:40" ht="15" customHeight="1" x14ac:dyDescent="0.25">
      <c r="A8" s="55"/>
      <c r="B8" s="56"/>
      <c r="C8" s="44"/>
      <c r="D8" s="34">
        <f>D7/$C$7</f>
        <v>1.7405937737226113E-2</v>
      </c>
      <c r="E8" s="34">
        <f t="shared" ref="E8:J8" si="0">E7/$C$7</f>
        <v>2.028853648843721E-2</v>
      </c>
      <c r="F8" s="34">
        <f t="shared" si="0"/>
        <v>2.2798499466401886E-2</v>
      </c>
      <c r="G8" s="34">
        <f t="shared" si="0"/>
        <v>3.1969483176406903E-2</v>
      </c>
      <c r="H8" s="34">
        <f t="shared" si="0"/>
        <v>5.2428893923190938E-2</v>
      </c>
      <c r="I8" s="34">
        <f t="shared" si="0"/>
        <v>6.8658734086623152E-2</v>
      </c>
      <c r="J8" s="34">
        <f t="shared" si="0"/>
        <v>8.2225511290160716E-2</v>
      </c>
      <c r="K8" s="34" t="s">
        <v>2</v>
      </c>
      <c r="L8" s="34">
        <f>L7/$C$7</f>
        <v>9.5979899497487434E-2</v>
      </c>
      <c r="S8" s="40"/>
      <c r="T8" s="21">
        <v>4</v>
      </c>
      <c r="U8" s="21">
        <v>6</v>
      </c>
      <c r="V8" s="21">
        <v>8</v>
      </c>
      <c r="W8" s="21">
        <v>10</v>
      </c>
      <c r="X8" s="21">
        <v>15</v>
      </c>
      <c r="Y8" s="21">
        <v>20</v>
      </c>
      <c r="Z8" s="21">
        <v>25</v>
      </c>
      <c r="AA8" s="21" t="s">
        <v>56</v>
      </c>
      <c r="AB8" s="2"/>
      <c r="AJ8" s="46"/>
      <c r="AK8" s="46"/>
      <c r="AL8" s="46" t="s">
        <v>39</v>
      </c>
      <c r="AM8" s="46" t="s">
        <v>39</v>
      </c>
      <c r="AN8" s="47" t="s">
        <v>39</v>
      </c>
    </row>
    <row r="9" spans="1:40" ht="15" customHeight="1" x14ac:dyDescent="0.25">
      <c r="A9" s="55"/>
      <c r="B9" s="56" t="s">
        <v>3</v>
      </c>
      <c r="C9" s="44">
        <v>18.2</v>
      </c>
      <c r="D9" s="35">
        <v>0.19773630566550046</v>
      </c>
      <c r="E9" s="35">
        <v>0.25955422238750009</v>
      </c>
      <c r="F9" s="35">
        <v>0.31885698120740058</v>
      </c>
      <c r="G9" s="35">
        <v>0.5023872615745999</v>
      </c>
      <c r="H9" s="35">
        <v>0.81872526878260077</v>
      </c>
      <c r="I9" s="35">
        <v>1.0679244372883998</v>
      </c>
      <c r="J9" s="35">
        <v>1.281519803667698</v>
      </c>
      <c r="K9" s="35">
        <v>1.4713793019626997</v>
      </c>
      <c r="L9" s="35" t="s">
        <v>2</v>
      </c>
      <c r="R9" s="49" t="str">
        <f>AJ10</f>
        <v>PriceScen1</v>
      </c>
      <c r="S9" s="50">
        <f>AM9/10^6</f>
        <v>21.822593000848901</v>
      </c>
      <c r="T9" s="51">
        <f>($AM$9-AM12)/10^6</f>
        <v>0.42123255959310008</v>
      </c>
      <c r="U9" s="51">
        <f>($AM$9-AM13)/10^6</f>
        <v>0.4839405790475011</v>
      </c>
      <c r="V9" s="51">
        <f>($AM$9-AM14)/10^6</f>
        <v>0.54874122033360229</v>
      </c>
      <c r="W9" s="51">
        <f>($AM$9-AM16)/10^6</f>
        <v>0.75878671170959999</v>
      </c>
      <c r="X9" s="51">
        <f>($AM$9-AM18)/10^6</f>
        <v>1.2259276380981989</v>
      </c>
      <c r="Y9" s="51">
        <f>($AM$9-AM19)/10^6</f>
        <v>1.5959944747476018</v>
      </c>
      <c r="Z9" s="51">
        <f>($AM$9-AM20)/10^6</f>
        <v>1.9052543541995994</v>
      </c>
      <c r="AA9" s="51">
        <f>(AM9-AM21)/10^6</f>
        <v>2.2237191536975018</v>
      </c>
      <c r="AB9" s="2"/>
      <c r="AJ9" s="46" t="s">
        <v>40</v>
      </c>
      <c r="AK9" s="46" t="s">
        <v>41</v>
      </c>
      <c r="AL9" s="46">
        <v>18903673.196429901</v>
      </c>
      <c r="AM9" s="46">
        <v>21822593.000848901</v>
      </c>
      <c r="AN9" s="47">
        <v>24818533.946589101</v>
      </c>
    </row>
    <row r="10" spans="1:40" ht="15" customHeight="1" x14ac:dyDescent="0.25">
      <c r="A10" s="55"/>
      <c r="B10" s="56"/>
      <c r="C10" s="44"/>
      <c r="D10" s="34">
        <f>D9/$C$9</f>
        <v>1.0864632179423102E-2</v>
      </c>
      <c r="E10" s="34">
        <f t="shared" ref="E10:K10" si="1">E9/$C$9</f>
        <v>1.4261221010302203E-2</v>
      </c>
      <c r="F10" s="34">
        <f t="shared" si="1"/>
        <v>1.7519614352054978E-2</v>
      </c>
      <c r="G10" s="34">
        <f t="shared" si="1"/>
        <v>2.7603695690912082E-2</v>
      </c>
      <c r="H10" s="34">
        <f t="shared" si="1"/>
        <v>4.498490487816488E-2</v>
      </c>
      <c r="I10" s="34">
        <f t="shared" si="1"/>
        <v>5.8677166883978012E-2</v>
      </c>
      <c r="J10" s="34">
        <f t="shared" si="1"/>
        <v>7.0413176025697702E-2</v>
      </c>
      <c r="K10" s="34">
        <f t="shared" si="1"/>
        <v>8.0845016591357136E-2</v>
      </c>
      <c r="L10" s="34" t="s">
        <v>2</v>
      </c>
      <c r="R10" s="52" t="str">
        <f>AJ22</f>
        <v>PriceScen2</v>
      </c>
      <c r="S10" s="53">
        <f>AM22/10^6</f>
        <v>21.822593000848901</v>
      </c>
      <c r="T10" s="54">
        <f>($AM$22-AM25)/10^6</f>
        <v>0.3729432618943006</v>
      </c>
      <c r="U10" s="54">
        <f>($AM$22-AM26)/10^6</f>
        <v>0.43565128134880216</v>
      </c>
      <c r="V10" s="54">
        <f>($AM$22-AM27)/10^6</f>
        <v>0.50045192263479898</v>
      </c>
      <c r="W10" s="54">
        <f>($AM$22-AM29)/10^6</f>
        <v>0.71049741401080047</v>
      </c>
      <c r="X10" s="54">
        <f>($AM$22-AM31)/10^6</f>
        <v>1.1776383403993993</v>
      </c>
      <c r="Y10" s="54">
        <f>($AM$22-AM32)/10^6</f>
        <v>1.5477051770488024</v>
      </c>
      <c r="Z10" s="54">
        <f>($AM$22-AM33)/10^6</f>
        <v>1.8569650565008</v>
      </c>
      <c r="AA10" s="54">
        <f>(AM22-AM34)/10^6</f>
        <v>2.1754298559987024</v>
      </c>
      <c r="AB10" s="2"/>
      <c r="AJ10" s="46" t="s">
        <v>40</v>
      </c>
      <c r="AK10" s="46" t="s">
        <v>42</v>
      </c>
      <c r="AL10" s="46">
        <v>18654376.932662599</v>
      </c>
      <c r="AM10" s="46">
        <v>21409930.972000401</v>
      </c>
      <c r="AN10" s="47">
        <v>24389970.394326702</v>
      </c>
    </row>
    <row r="11" spans="1:40" ht="15" customHeight="1" x14ac:dyDescent="0.25">
      <c r="A11" s="55"/>
      <c r="B11" s="56" t="s">
        <v>4</v>
      </c>
      <c r="C11" s="44">
        <v>18.399999999999999</v>
      </c>
      <c r="D11" s="35">
        <v>0.45298109370830281</v>
      </c>
      <c r="E11" s="35">
        <v>0.50521009214500334</v>
      </c>
      <c r="F11" s="35">
        <v>0.56239228223760052</v>
      </c>
      <c r="G11" s="35">
        <v>0.78202913085200265</v>
      </c>
      <c r="H11" s="35">
        <v>1.2296985151187032</v>
      </c>
      <c r="I11" s="35">
        <v>1.5802120939738005</v>
      </c>
      <c r="J11" s="35">
        <v>1.8729304582968018</v>
      </c>
      <c r="K11" s="35" t="s">
        <v>2</v>
      </c>
      <c r="L11" s="35">
        <v>2.17</v>
      </c>
      <c r="AB11" s="2"/>
      <c r="AJ11" s="46" t="s">
        <v>40</v>
      </c>
      <c r="AK11" s="46" t="s">
        <v>43</v>
      </c>
      <c r="AL11" s="46">
        <v>18653501.7890887</v>
      </c>
      <c r="AM11" s="46">
        <v>21406404.685928699</v>
      </c>
      <c r="AN11" s="47">
        <v>24394130.856560301</v>
      </c>
    </row>
    <row r="12" spans="1:40" ht="15" customHeight="1" x14ac:dyDescent="0.25">
      <c r="A12" s="55"/>
      <c r="B12" s="56"/>
      <c r="C12" s="44"/>
      <c r="D12" s="34">
        <f>D11/$C$11</f>
        <v>2.4618537701538198E-2</v>
      </c>
      <c r="E12" s="34">
        <f t="shared" ref="E12:L12" si="2">E11/$C$11</f>
        <v>2.7457070225271923E-2</v>
      </c>
      <c r="F12" s="34">
        <f t="shared" si="2"/>
        <v>3.0564797947695684E-2</v>
      </c>
      <c r="G12" s="34">
        <f t="shared" si="2"/>
        <v>4.250158319847841E-2</v>
      </c>
      <c r="H12" s="34">
        <f t="shared" si="2"/>
        <v>6.6831441039059969E-2</v>
      </c>
      <c r="I12" s="34">
        <f t="shared" si="2"/>
        <v>8.5881092063793504E-2</v>
      </c>
      <c r="J12" s="34">
        <f t="shared" si="2"/>
        <v>0.10178969882047836</v>
      </c>
      <c r="K12" s="34" t="s">
        <v>2</v>
      </c>
      <c r="L12" s="34">
        <f>L11/$C$11</f>
        <v>0.11793478260869565</v>
      </c>
      <c r="AB12" s="2"/>
      <c r="AJ12" s="46" t="s">
        <v>40</v>
      </c>
      <c r="AK12" s="46" t="s">
        <v>44</v>
      </c>
      <c r="AL12" s="46">
        <v>18651557.025591198</v>
      </c>
      <c r="AM12" s="46">
        <v>21401360.4412558</v>
      </c>
      <c r="AN12" s="47">
        <v>24403376.328190401</v>
      </c>
    </row>
    <row r="13" spans="1:40" ht="15" customHeight="1" x14ac:dyDescent="0.25">
      <c r="A13" s="55"/>
      <c r="B13" s="56" t="s">
        <v>5</v>
      </c>
      <c r="C13" s="44">
        <v>20.100000000000001</v>
      </c>
      <c r="D13" s="35">
        <v>0.30703677686570213</v>
      </c>
      <c r="E13" s="35">
        <v>0.37092241974580287</v>
      </c>
      <c r="F13" s="35">
        <v>0.4309193574142009</v>
      </c>
      <c r="G13" s="35">
        <v>0.6763384819710031</v>
      </c>
      <c r="H13" s="35">
        <v>1.1582219619390033</v>
      </c>
      <c r="I13" s="35">
        <v>1.4696818326085024</v>
      </c>
      <c r="J13" s="35">
        <v>1.7346031496657022</v>
      </c>
      <c r="K13" s="35">
        <v>1.9701551162657029</v>
      </c>
      <c r="L13" s="35" t="s">
        <v>2</v>
      </c>
      <c r="AB13" s="2"/>
      <c r="AJ13" s="46" t="s">
        <v>40</v>
      </c>
      <c r="AK13" s="46" t="s">
        <v>45</v>
      </c>
      <c r="AL13" s="46">
        <v>18616401.237366602</v>
      </c>
      <c r="AM13" s="46">
        <v>21338652.421801399</v>
      </c>
      <c r="AN13" s="47">
        <v>24347408.637882601</v>
      </c>
    </row>
    <row r="14" spans="1:40" ht="15" customHeight="1" x14ac:dyDescent="0.25">
      <c r="A14" s="55"/>
      <c r="B14" s="56"/>
      <c r="C14" s="44"/>
      <c r="D14" s="34">
        <f>D13/$C$13</f>
        <v>1.527546153560707E-2</v>
      </c>
      <c r="E14" s="34">
        <f t="shared" ref="E14:K14" si="3">E13/$C$13</f>
        <v>1.8453851728646907E-2</v>
      </c>
      <c r="F14" s="34">
        <f t="shared" si="3"/>
        <v>2.1438774000706512E-2</v>
      </c>
      <c r="G14" s="34">
        <f t="shared" si="3"/>
        <v>3.3648680695074776E-2</v>
      </c>
      <c r="H14" s="34">
        <f t="shared" si="3"/>
        <v>5.7622983181044939E-2</v>
      </c>
      <c r="I14" s="34">
        <f t="shared" si="3"/>
        <v>7.3118499134751352E-2</v>
      </c>
      <c r="J14" s="34">
        <f t="shared" si="3"/>
        <v>8.6298664162472741E-2</v>
      </c>
      <c r="K14" s="34">
        <f t="shared" si="3"/>
        <v>9.8017667475905609E-2</v>
      </c>
      <c r="L14" s="34" t="s">
        <v>2</v>
      </c>
      <c r="AB14" s="2"/>
      <c r="AJ14" s="46" t="s">
        <v>40</v>
      </c>
      <c r="AK14" s="46" t="s">
        <v>46</v>
      </c>
      <c r="AL14" s="46">
        <v>18581874.479363799</v>
      </c>
      <c r="AM14" s="46">
        <v>21273851.780515298</v>
      </c>
      <c r="AN14" s="47">
        <v>24288450.516564701</v>
      </c>
    </row>
    <row r="15" spans="1:40" ht="15" customHeight="1" x14ac:dyDescent="0.25">
      <c r="A15" s="55"/>
      <c r="B15" s="56" t="s">
        <v>6</v>
      </c>
      <c r="C15" s="45">
        <v>25.3</v>
      </c>
      <c r="D15" s="35">
        <v>0.6991782687658965</v>
      </c>
      <c r="E15" s="35">
        <v>0.77039247569559888</v>
      </c>
      <c r="F15" s="35">
        <v>0.84801718150349703</v>
      </c>
      <c r="G15" s="35">
        <v>1.1580000435706974</v>
      </c>
      <c r="H15" s="35">
        <v>1.8384634115953966</v>
      </c>
      <c r="I15" s="35">
        <v>2.3482817784691976</v>
      </c>
      <c r="J15" s="35">
        <v>2.7739041189543978</v>
      </c>
      <c r="K15" s="35" t="s">
        <v>2</v>
      </c>
      <c r="L15" s="35">
        <v>3.21</v>
      </c>
      <c r="AB15" s="2"/>
      <c r="AJ15" s="46" t="s">
        <v>40</v>
      </c>
      <c r="AK15" s="46" t="s">
        <v>47</v>
      </c>
      <c r="AL15" s="46">
        <v>18484222.507680599</v>
      </c>
      <c r="AM15" s="46">
        <v>21166765.5088588</v>
      </c>
      <c r="AN15" s="47">
        <v>24184411.700238299</v>
      </c>
    </row>
    <row r="16" spans="1:40" ht="15" customHeight="1" x14ac:dyDescent="0.25">
      <c r="A16" s="55"/>
      <c r="B16" s="56"/>
      <c r="C16" s="45"/>
      <c r="D16" s="34">
        <f>D15/$C$15</f>
        <v>2.763550469430421E-2</v>
      </c>
      <c r="E16" s="34">
        <f t="shared" ref="E16:L16" si="4">E15/$C$15</f>
        <v>3.045029548203948E-2</v>
      </c>
      <c r="F16" s="34">
        <f t="shared" si="4"/>
        <v>3.3518465672074983E-2</v>
      </c>
      <c r="G16" s="34">
        <f t="shared" si="4"/>
        <v>4.5770752710304244E-2</v>
      </c>
      <c r="H16" s="34">
        <f t="shared" si="4"/>
        <v>7.2666538007723186E-2</v>
      </c>
      <c r="I16" s="34">
        <f t="shared" si="4"/>
        <v>9.281746159957302E-2</v>
      </c>
      <c r="J16" s="34">
        <f t="shared" si="4"/>
        <v>0.10964047901005525</v>
      </c>
      <c r="K16" s="34" t="s">
        <v>2</v>
      </c>
      <c r="L16" s="34">
        <f t="shared" si="4"/>
        <v>0.12687747035573121</v>
      </c>
      <c r="AB16" s="2"/>
      <c r="AJ16" s="46" t="s">
        <v>40</v>
      </c>
      <c r="AK16" s="46" t="s">
        <v>48</v>
      </c>
      <c r="AL16" s="46">
        <v>18386570.535997398</v>
      </c>
      <c r="AM16" s="46">
        <v>21063806.289139301</v>
      </c>
      <c r="AN16" s="47">
        <v>24080372.8839119</v>
      </c>
    </row>
    <row r="17" spans="1:41" ht="15" customHeight="1" x14ac:dyDescent="0.25">
      <c r="A17" s="55"/>
      <c r="B17" s="56" t="s">
        <v>7</v>
      </c>
      <c r="C17" s="44">
        <v>25.5</v>
      </c>
      <c r="D17" s="35">
        <v>0.62974534319780018</v>
      </c>
      <c r="E17" s="35">
        <v>0.70193038461899759</v>
      </c>
      <c r="F17" s="35">
        <v>0.78096118870139863</v>
      </c>
      <c r="G17" s="35">
        <v>1.084517940061301</v>
      </c>
      <c r="H17" s="35">
        <v>1.7032323281897008</v>
      </c>
      <c r="I17" s="35">
        <v>2.187670991075199</v>
      </c>
      <c r="J17" s="35">
        <v>2.5922319100384006</v>
      </c>
      <c r="K17" s="35" t="s">
        <v>2</v>
      </c>
      <c r="L17" s="35">
        <v>3.01</v>
      </c>
      <c r="AB17" s="2"/>
      <c r="AJ17" s="46" t="s">
        <v>40</v>
      </c>
      <c r="AK17" s="46" t="s">
        <v>49</v>
      </c>
      <c r="AL17" s="46">
        <v>18208904.696990099</v>
      </c>
      <c r="AM17" s="46">
        <v>20861690.4555737</v>
      </c>
      <c r="AN17" s="47">
        <v>23906253.286134299</v>
      </c>
    </row>
    <row r="18" spans="1:41" ht="15" customHeight="1" x14ac:dyDescent="0.25">
      <c r="A18" s="55"/>
      <c r="B18" s="56"/>
      <c r="C18" s="44"/>
      <c r="D18" s="34">
        <f>D17/$C$17</f>
        <v>2.4695895811678439E-2</v>
      </c>
      <c r="E18" s="34">
        <f t="shared" ref="E18:L18" si="5">E17/$C$17</f>
        <v>2.7526681749764612E-2</v>
      </c>
      <c r="F18" s="34">
        <f t="shared" si="5"/>
        <v>3.0625928968682298E-2</v>
      </c>
      <c r="G18" s="34">
        <f t="shared" si="5"/>
        <v>4.2530115296521606E-2</v>
      </c>
      <c r="H18" s="34">
        <f t="shared" si="5"/>
        <v>6.6793424634890228E-2</v>
      </c>
      <c r="I18" s="34">
        <f t="shared" si="5"/>
        <v>8.5791019257850945E-2</v>
      </c>
      <c r="J18" s="34">
        <f t="shared" si="5"/>
        <v>0.10165615333483924</v>
      </c>
      <c r="K18" s="34" t="s">
        <v>2</v>
      </c>
      <c r="L18" s="34">
        <f t="shared" si="5"/>
        <v>0.1180392156862745</v>
      </c>
      <c r="AB18" s="2"/>
      <c r="AJ18" s="46" t="s">
        <v>40</v>
      </c>
      <c r="AK18" s="46" t="s">
        <v>50</v>
      </c>
      <c r="AL18" s="46">
        <v>17978419.8392184</v>
      </c>
      <c r="AM18" s="46">
        <v>20596665.362750702</v>
      </c>
      <c r="AN18" s="47">
        <v>23687442.148014799</v>
      </c>
    </row>
    <row r="19" spans="1:41" ht="15" customHeight="1" x14ac:dyDescent="0.25">
      <c r="A19" s="55"/>
      <c r="B19" s="56" t="s">
        <v>8</v>
      </c>
      <c r="C19" s="44">
        <v>23.6</v>
      </c>
      <c r="D19" s="35">
        <v>0.23262457996139677</v>
      </c>
      <c r="E19" s="35">
        <v>0.30382793391699714</v>
      </c>
      <c r="F19" s="35">
        <v>0.3737165934539996</v>
      </c>
      <c r="G19" s="35">
        <v>0.59540606157419829</v>
      </c>
      <c r="H19" s="35">
        <v>0.94644086807379868</v>
      </c>
      <c r="I19" s="35">
        <v>1.2515247067685984</v>
      </c>
      <c r="J19" s="35">
        <v>1.5129664307896979</v>
      </c>
      <c r="K19" s="35">
        <v>1.7453134116948992</v>
      </c>
      <c r="L19" s="35" t="s">
        <v>2</v>
      </c>
      <c r="AB19" s="2"/>
      <c r="AJ19" s="46" t="s">
        <v>40</v>
      </c>
      <c r="AK19" s="46" t="s">
        <v>51</v>
      </c>
      <c r="AL19" s="46">
        <v>17652947.202752601</v>
      </c>
      <c r="AM19" s="46">
        <v>20226598.526101299</v>
      </c>
      <c r="AN19" s="47">
        <v>23377041.2153253</v>
      </c>
    </row>
    <row r="20" spans="1:41" ht="15" customHeight="1" x14ac:dyDescent="0.25">
      <c r="A20" s="55"/>
      <c r="B20" s="56"/>
      <c r="C20" s="44"/>
      <c r="D20" s="34">
        <f>D19/$C$19</f>
        <v>9.8569737271778281E-3</v>
      </c>
      <c r="E20" s="34">
        <f t="shared" ref="E20:K20" si="6">E19/$C$19</f>
        <v>1.2874064996482928E-2</v>
      </c>
      <c r="F20" s="34">
        <f t="shared" si="6"/>
        <v>1.5835448875169474E-2</v>
      </c>
      <c r="G20" s="34">
        <f t="shared" si="6"/>
        <v>2.5229070405686366E-2</v>
      </c>
      <c r="H20" s="34">
        <f t="shared" si="6"/>
        <v>4.010342661329655E-2</v>
      </c>
      <c r="I20" s="34">
        <f t="shared" si="6"/>
        <v>5.3030707913923655E-2</v>
      </c>
      <c r="J20" s="34">
        <f t="shared" si="6"/>
        <v>6.4108747067360083E-2</v>
      </c>
      <c r="K20" s="34">
        <f t="shared" si="6"/>
        <v>7.3953958122665212E-2</v>
      </c>
      <c r="L20" s="34" t="s">
        <v>2</v>
      </c>
      <c r="AB20" s="2"/>
      <c r="AJ20" s="46" t="s">
        <v>40</v>
      </c>
      <c r="AK20" s="46" t="s">
        <v>52</v>
      </c>
      <c r="AL20" s="46">
        <v>17369229.4486662</v>
      </c>
      <c r="AM20" s="46">
        <v>19917338.646649301</v>
      </c>
      <c r="AN20" s="47">
        <v>23112714.917867798</v>
      </c>
    </row>
    <row r="21" spans="1:41" ht="15" customHeight="1" x14ac:dyDescent="0.25">
      <c r="A21" s="55"/>
      <c r="B21" s="56" t="s">
        <v>9</v>
      </c>
      <c r="C21" s="44">
        <v>21.8</v>
      </c>
      <c r="D21" s="35">
        <v>0.42123255959310008</v>
      </c>
      <c r="E21" s="35">
        <v>0.4839405790475011</v>
      </c>
      <c r="F21" s="35">
        <v>0.54874122033360229</v>
      </c>
      <c r="G21" s="35">
        <v>0.75878671170959999</v>
      </c>
      <c r="H21" s="35">
        <v>1.2259276380981989</v>
      </c>
      <c r="I21" s="35">
        <v>1.5959944747476018</v>
      </c>
      <c r="J21" s="35">
        <v>1.9052543541995994</v>
      </c>
      <c r="K21" s="35" t="s">
        <v>2</v>
      </c>
      <c r="L21" s="35">
        <v>2.2200000000000002</v>
      </c>
      <c r="AB21" s="2"/>
      <c r="AJ21" s="46" t="s">
        <v>40</v>
      </c>
      <c r="AK21" s="46" t="s">
        <v>53</v>
      </c>
      <c r="AL21" s="46">
        <v>17063098.089805499</v>
      </c>
      <c r="AM21" s="46">
        <v>19598873.847151399</v>
      </c>
      <c r="AN21" s="47">
        <v>22835415.077358302</v>
      </c>
    </row>
    <row r="22" spans="1:41" ht="15" customHeight="1" x14ac:dyDescent="0.25">
      <c r="A22" s="55"/>
      <c r="B22" s="56"/>
      <c r="C22" s="44"/>
      <c r="D22" s="34">
        <f>D21/$C$21</f>
        <v>1.9322594476747709E-2</v>
      </c>
      <c r="E22" s="34">
        <f t="shared" ref="E22:L22" si="7">E21/$C$21</f>
        <v>2.2199109130619316E-2</v>
      </c>
      <c r="F22" s="34">
        <f t="shared" si="7"/>
        <v>2.5171615611633131E-2</v>
      </c>
      <c r="G22" s="34">
        <f t="shared" si="7"/>
        <v>3.480672989493578E-2</v>
      </c>
      <c r="H22" s="34">
        <f t="shared" si="7"/>
        <v>5.6235212756798117E-2</v>
      </c>
      <c r="I22" s="34">
        <f t="shared" si="7"/>
        <v>7.3210755722367057E-2</v>
      </c>
      <c r="J22" s="34">
        <f t="shared" si="7"/>
        <v>8.7396988724752267E-2</v>
      </c>
      <c r="K22" s="34" t="s">
        <v>2</v>
      </c>
      <c r="L22" s="34">
        <f>L21/$C$21</f>
        <v>0.10183486238532111</v>
      </c>
      <c r="AB22" s="2"/>
      <c r="AJ22" s="46" t="s">
        <v>54</v>
      </c>
      <c r="AK22" s="46" t="s">
        <v>41</v>
      </c>
      <c r="AL22" s="46">
        <v>18903673.196429901</v>
      </c>
      <c r="AM22" s="46">
        <v>21822593.000848901</v>
      </c>
      <c r="AN22" s="47">
        <v>24818533.946589101</v>
      </c>
    </row>
    <row r="23" spans="1:41" x14ac:dyDescent="0.25">
      <c r="AB23" s="2"/>
      <c r="AJ23" s="46" t="s">
        <v>54</v>
      </c>
      <c r="AK23" s="46" t="s">
        <v>42</v>
      </c>
      <c r="AL23" s="46">
        <v>18762657.921289101</v>
      </c>
      <c r="AM23" s="46">
        <v>21458220.269699201</v>
      </c>
      <c r="AN23" s="47">
        <v>24514795.692338798</v>
      </c>
    </row>
    <row r="24" spans="1:41" x14ac:dyDescent="0.25">
      <c r="AB24" s="2"/>
      <c r="AJ24" s="46" t="s">
        <v>54</v>
      </c>
      <c r="AK24" s="46" t="s">
        <v>43</v>
      </c>
      <c r="AL24" s="46">
        <v>18761782.777715199</v>
      </c>
      <c r="AM24" s="46">
        <v>21454693.983627498</v>
      </c>
      <c r="AN24" s="47">
        <v>24518956.154572301</v>
      </c>
    </row>
    <row r="25" spans="1:41" x14ac:dyDescent="0.25">
      <c r="A25" s="3" t="s">
        <v>10</v>
      </c>
      <c r="N25" s="3"/>
      <c r="AB25" s="2"/>
      <c r="AJ25" s="46" t="s">
        <v>54</v>
      </c>
      <c r="AK25" s="46" t="s">
        <v>44</v>
      </c>
      <c r="AL25" s="46">
        <v>18759838.014217701</v>
      </c>
      <c r="AM25" s="46">
        <v>21449649.7389546</v>
      </c>
      <c r="AN25" s="47">
        <v>24528201.626202501</v>
      </c>
    </row>
    <row r="26" spans="1:41" x14ac:dyDescent="0.25">
      <c r="AB26" s="2"/>
      <c r="AJ26" s="46" t="s">
        <v>54</v>
      </c>
      <c r="AK26" s="46" t="s">
        <v>45</v>
      </c>
      <c r="AL26" s="46">
        <v>18724682.225993101</v>
      </c>
      <c r="AM26" s="46">
        <v>21386941.719500098</v>
      </c>
      <c r="AN26" s="47">
        <v>24472233.935894601</v>
      </c>
    </row>
    <row r="27" spans="1:41" x14ac:dyDescent="0.25">
      <c r="C27" s="36" t="s">
        <v>11</v>
      </c>
      <c r="D27" s="36"/>
      <c r="E27" s="36"/>
      <c r="F27" s="36"/>
      <c r="G27" s="36"/>
      <c r="H27" s="36"/>
      <c r="I27" s="36"/>
      <c r="J27" s="36"/>
      <c r="K27" s="36"/>
      <c r="L27" s="36"/>
      <c r="AB27" s="2"/>
      <c r="AJ27" s="46" t="s">
        <v>54</v>
      </c>
      <c r="AK27" s="46" t="s">
        <v>46</v>
      </c>
      <c r="AL27" s="46">
        <v>18690155.467990302</v>
      </c>
      <c r="AM27" s="46">
        <v>21322141.078214101</v>
      </c>
      <c r="AN27" s="47">
        <v>24413275.8145767</v>
      </c>
    </row>
    <row r="28" spans="1:41" x14ac:dyDescent="0.25">
      <c r="B28" t="s">
        <v>0</v>
      </c>
      <c r="C28" s="2">
        <v>0</v>
      </c>
      <c r="D28" s="2">
        <f t="shared" ref="D28:L28" si="8">D6</f>
        <v>4</v>
      </c>
      <c r="E28" s="2">
        <f t="shared" si="8"/>
        <v>6</v>
      </c>
      <c r="F28" s="2">
        <f t="shared" si="8"/>
        <v>8</v>
      </c>
      <c r="G28" s="2">
        <f t="shared" si="8"/>
        <v>10</v>
      </c>
      <c r="H28" s="2">
        <f t="shared" si="8"/>
        <v>15</v>
      </c>
      <c r="I28" s="2">
        <f t="shared" si="8"/>
        <v>20</v>
      </c>
      <c r="J28" s="2">
        <f t="shared" si="8"/>
        <v>25</v>
      </c>
      <c r="K28" s="2">
        <f t="shared" si="8"/>
        <v>30</v>
      </c>
      <c r="L28" s="2">
        <f t="shared" si="8"/>
        <v>31</v>
      </c>
      <c r="O28" s="2"/>
      <c r="AB28" s="2"/>
      <c r="AJ28" s="46" t="s">
        <v>54</v>
      </c>
      <c r="AK28" s="46" t="s">
        <v>47</v>
      </c>
      <c r="AL28" s="46">
        <v>18592503.496307101</v>
      </c>
      <c r="AM28" s="46">
        <v>21215054.806557599</v>
      </c>
      <c r="AN28" s="47">
        <v>24309236.998250298</v>
      </c>
      <c r="AO28" s="2"/>
    </row>
    <row r="29" spans="1:41" x14ac:dyDescent="0.25">
      <c r="B29" t="str">
        <f>B7</f>
        <v>March</v>
      </c>
      <c r="C29" s="2">
        <f>C7</f>
        <v>19.899999999999999</v>
      </c>
      <c r="D29" s="2">
        <f t="shared" ref="D29:L29" si="9">D7</f>
        <v>0.3463781609707996</v>
      </c>
      <c r="E29" s="2">
        <f t="shared" si="9"/>
        <v>0.40374187611990048</v>
      </c>
      <c r="F29" s="2">
        <f t="shared" si="9"/>
        <v>0.45369013938139752</v>
      </c>
      <c r="G29" s="2">
        <f t="shared" si="9"/>
        <v>0.63619271521049736</v>
      </c>
      <c r="H29" s="2">
        <f t="shared" si="9"/>
        <v>1.0433349890714996</v>
      </c>
      <c r="I29" s="2">
        <f t="shared" si="9"/>
        <v>1.3663088083238006</v>
      </c>
      <c r="J29" s="2">
        <f t="shared" si="9"/>
        <v>1.6362876746741981</v>
      </c>
      <c r="K29" s="2" t="str">
        <f t="shared" si="9"/>
        <v>-</v>
      </c>
      <c r="L29" s="2">
        <f t="shared" si="9"/>
        <v>1.91</v>
      </c>
      <c r="O29" s="2"/>
      <c r="AB29" s="2"/>
      <c r="AJ29" s="46" t="s">
        <v>54</v>
      </c>
      <c r="AK29" s="46" t="s">
        <v>48</v>
      </c>
      <c r="AL29" s="46">
        <v>18494851.524623901</v>
      </c>
      <c r="AM29" s="46">
        <v>21112095.5868381</v>
      </c>
      <c r="AN29" s="47">
        <v>24205198.1819239</v>
      </c>
      <c r="AO29" s="2"/>
    </row>
    <row r="30" spans="1:41" x14ac:dyDescent="0.25">
      <c r="B30" t="str">
        <f t="shared" ref="B30:L30" si="10">B9</f>
        <v>April</v>
      </c>
      <c r="C30" s="2">
        <f t="shared" si="10"/>
        <v>18.2</v>
      </c>
      <c r="D30" s="2">
        <f t="shared" si="10"/>
        <v>0.19773630566550046</v>
      </c>
      <c r="E30" s="2">
        <f t="shared" si="10"/>
        <v>0.25955422238750009</v>
      </c>
      <c r="F30" s="2">
        <f t="shared" si="10"/>
        <v>0.31885698120740058</v>
      </c>
      <c r="G30" s="2">
        <f t="shared" si="10"/>
        <v>0.5023872615745999</v>
      </c>
      <c r="H30" s="2">
        <f t="shared" si="10"/>
        <v>0.81872526878260077</v>
      </c>
      <c r="I30" s="2">
        <f t="shared" si="10"/>
        <v>1.0679244372883998</v>
      </c>
      <c r="J30" s="2">
        <f t="shared" si="10"/>
        <v>1.281519803667698</v>
      </c>
      <c r="K30" s="2">
        <f t="shared" si="10"/>
        <v>1.4713793019626997</v>
      </c>
      <c r="L30" s="2" t="str">
        <f t="shared" si="10"/>
        <v>-</v>
      </c>
      <c r="O30" s="2"/>
      <c r="AB30" s="2"/>
      <c r="AJ30" s="46" t="s">
        <v>54</v>
      </c>
      <c r="AK30" s="46" t="s">
        <v>49</v>
      </c>
      <c r="AL30" s="46">
        <v>18317185.685616601</v>
      </c>
      <c r="AM30" s="46">
        <v>20909979.7532725</v>
      </c>
      <c r="AN30" s="47">
        <v>24031078.584146399</v>
      </c>
      <c r="AO30" s="2"/>
    </row>
    <row r="31" spans="1:41" x14ac:dyDescent="0.25">
      <c r="B31" t="str">
        <f t="shared" ref="B31:L31" si="11">B11</f>
        <v>May</v>
      </c>
      <c r="C31" s="2">
        <f t="shared" si="11"/>
        <v>18.399999999999999</v>
      </c>
      <c r="D31" s="2">
        <f t="shared" si="11"/>
        <v>0.45298109370830281</v>
      </c>
      <c r="E31" s="2">
        <f t="shared" si="11"/>
        <v>0.50521009214500334</v>
      </c>
      <c r="F31" s="2">
        <f t="shared" si="11"/>
        <v>0.56239228223760052</v>
      </c>
      <c r="G31" s="2">
        <f t="shared" si="11"/>
        <v>0.78202913085200265</v>
      </c>
      <c r="H31" s="2">
        <f t="shared" si="11"/>
        <v>1.2296985151187032</v>
      </c>
      <c r="I31" s="2">
        <f t="shared" si="11"/>
        <v>1.5802120939738005</v>
      </c>
      <c r="J31" s="2">
        <f t="shared" si="11"/>
        <v>1.8729304582968018</v>
      </c>
      <c r="K31" s="2" t="str">
        <f t="shared" si="11"/>
        <v>-</v>
      </c>
      <c r="L31" s="2">
        <f t="shared" si="11"/>
        <v>2.17</v>
      </c>
      <c r="O31" s="2"/>
      <c r="AB31" s="2"/>
      <c r="AJ31" s="46" t="s">
        <v>54</v>
      </c>
      <c r="AK31" s="46" t="s">
        <v>50</v>
      </c>
      <c r="AL31" s="46">
        <v>18086700.827844899</v>
      </c>
      <c r="AM31" s="46">
        <v>20644954.660449501</v>
      </c>
      <c r="AN31" s="47">
        <v>23812267.446026798</v>
      </c>
      <c r="AO31" s="2"/>
    </row>
    <row r="32" spans="1:41" x14ac:dyDescent="0.25">
      <c r="B32" t="str">
        <f t="shared" ref="B32:L32" si="12">B13</f>
        <v>June</v>
      </c>
      <c r="C32" s="2">
        <f t="shared" si="12"/>
        <v>20.100000000000001</v>
      </c>
      <c r="D32" s="2">
        <f t="shared" si="12"/>
        <v>0.30703677686570213</v>
      </c>
      <c r="E32" s="2">
        <f t="shared" si="12"/>
        <v>0.37092241974580287</v>
      </c>
      <c r="F32" s="2">
        <f t="shared" si="12"/>
        <v>0.4309193574142009</v>
      </c>
      <c r="G32" s="2">
        <f t="shared" si="12"/>
        <v>0.6763384819710031</v>
      </c>
      <c r="H32" s="2">
        <f t="shared" si="12"/>
        <v>1.1582219619390033</v>
      </c>
      <c r="I32" s="2">
        <f t="shared" si="12"/>
        <v>1.4696818326085024</v>
      </c>
      <c r="J32" s="2">
        <f t="shared" si="12"/>
        <v>1.7346031496657022</v>
      </c>
      <c r="K32" s="2">
        <f t="shared" si="12"/>
        <v>1.9701551162657029</v>
      </c>
      <c r="L32" s="2" t="str">
        <f t="shared" si="12"/>
        <v>-</v>
      </c>
      <c r="O32" s="2"/>
      <c r="AB32" s="2"/>
      <c r="AJ32" s="46" t="s">
        <v>54</v>
      </c>
      <c r="AK32" s="46" t="s">
        <v>51</v>
      </c>
      <c r="AL32" s="46">
        <v>17761228.1913791</v>
      </c>
      <c r="AM32" s="46">
        <v>20274887.823800098</v>
      </c>
      <c r="AN32" s="47">
        <v>23501866.513337299</v>
      </c>
      <c r="AO32" s="2"/>
    </row>
    <row r="33" spans="1:41" x14ac:dyDescent="0.25">
      <c r="B33" t="str">
        <f t="shared" ref="B33:L33" si="13">B15</f>
        <v>July</v>
      </c>
      <c r="C33" s="2">
        <f t="shared" si="13"/>
        <v>25.3</v>
      </c>
      <c r="D33" s="2">
        <f t="shared" si="13"/>
        <v>0.6991782687658965</v>
      </c>
      <c r="E33" s="2">
        <f t="shared" si="13"/>
        <v>0.77039247569559888</v>
      </c>
      <c r="F33" s="2">
        <f t="shared" si="13"/>
        <v>0.84801718150349703</v>
      </c>
      <c r="G33" s="2">
        <f t="shared" si="13"/>
        <v>1.1580000435706974</v>
      </c>
      <c r="H33" s="2">
        <f t="shared" si="13"/>
        <v>1.8384634115953966</v>
      </c>
      <c r="I33" s="2">
        <f t="shared" si="13"/>
        <v>2.3482817784691976</v>
      </c>
      <c r="J33" s="2">
        <f t="shared" si="13"/>
        <v>2.7739041189543978</v>
      </c>
      <c r="K33" s="2" t="str">
        <f t="shared" si="13"/>
        <v>-</v>
      </c>
      <c r="L33" s="2">
        <f t="shared" si="13"/>
        <v>3.21</v>
      </c>
      <c r="O33" s="2"/>
      <c r="AB33" s="2"/>
      <c r="AJ33" s="46" t="s">
        <v>54</v>
      </c>
      <c r="AK33" s="46" t="s">
        <v>52</v>
      </c>
      <c r="AL33" s="46">
        <v>17477510.437292799</v>
      </c>
      <c r="AM33" s="46">
        <v>19965627.944348101</v>
      </c>
      <c r="AN33" s="47">
        <v>23237540.215879802</v>
      </c>
      <c r="AO33" s="2"/>
    </row>
    <row r="34" spans="1:41" x14ac:dyDescent="0.25">
      <c r="B34" t="str">
        <f t="shared" ref="B34:L34" si="14">B17</f>
        <v>August</v>
      </c>
      <c r="C34" s="2">
        <f t="shared" si="14"/>
        <v>25.5</v>
      </c>
      <c r="D34" s="2">
        <f t="shared" si="14"/>
        <v>0.62974534319780018</v>
      </c>
      <c r="E34" s="2">
        <f t="shared" si="14"/>
        <v>0.70193038461899759</v>
      </c>
      <c r="F34" s="2">
        <f t="shared" si="14"/>
        <v>0.78096118870139863</v>
      </c>
      <c r="G34" s="2">
        <f t="shared" si="14"/>
        <v>1.084517940061301</v>
      </c>
      <c r="H34" s="2">
        <f t="shared" si="14"/>
        <v>1.7032323281897008</v>
      </c>
      <c r="I34" s="2">
        <f t="shared" si="14"/>
        <v>2.187670991075199</v>
      </c>
      <c r="J34" s="2">
        <f t="shared" si="14"/>
        <v>2.5922319100384006</v>
      </c>
      <c r="K34" s="2" t="str">
        <f t="shared" si="14"/>
        <v>-</v>
      </c>
      <c r="L34" s="2">
        <f t="shared" si="14"/>
        <v>3.01</v>
      </c>
      <c r="O34" s="2"/>
      <c r="AB34" s="2"/>
      <c r="AJ34" s="46" t="s">
        <v>54</v>
      </c>
      <c r="AK34" s="46" t="s">
        <v>53</v>
      </c>
      <c r="AL34" s="46">
        <v>17171379.078432001</v>
      </c>
      <c r="AM34" s="46">
        <v>19647163.144850198</v>
      </c>
      <c r="AN34" s="47">
        <v>22960240.375370301</v>
      </c>
      <c r="AO34" s="2"/>
    </row>
    <row r="35" spans="1:41" x14ac:dyDescent="0.25">
      <c r="B35" t="str">
        <f t="shared" ref="B35:L35" si="15">B19</f>
        <v>September</v>
      </c>
      <c r="C35" s="2">
        <f t="shared" si="15"/>
        <v>23.6</v>
      </c>
      <c r="D35" s="2">
        <f t="shared" si="15"/>
        <v>0.23262457996139677</v>
      </c>
      <c r="E35" s="2">
        <f t="shared" si="15"/>
        <v>0.30382793391699714</v>
      </c>
      <c r="F35" s="2">
        <f t="shared" si="15"/>
        <v>0.3737165934539996</v>
      </c>
      <c r="G35" s="2">
        <f t="shared" si="15"/>
        <v>0.59540606157419829</v>
      </c>
      <c r="H35" s="2">
        <f t="shared" si="15"/>
        <v>0.94644086807379868</v>
      </c>
      <c r="I35" s="2">
        <f t="shared" si="15"/>
        <v>1.2515247067685984</v>
      </c>
      <c r="J35" s="2">
        <f t="shared" si="15"/>
        <v>1.5129664307896979</v>
      </c>
      <c r="K35" s="2">
        <f t="shared" si="15"/>
        <v>1.7453134116948992</v>
      </c>
      <c r="L35" s="2" t="str">
        <f t="shared" si="15"/>
        <v>-</v>
      </c>
      <c r="O35" s="2"/>
      <c r="AB35" s="2"/>
      <c r="AO35" s="2"/>
    </row>
    <row r="36" spans="1:41" x14ac:dyDescent="0.25">
      <c r="B36" t="str">
        <f t="shared" ref="B36:L36" si="16">B21</f>
        <v>October</v>
      </c>
      <c r="C36" s="2">
        <f t="shared" si="16"/>
        <v>21.8</v>
      </c>
      <c r="D36" s="2">
        <f t="shared" si="16"/>
        <v>0.42123255959310008</v>
      </c>
      <c r="E36" s="2">
        <f t="shared" si="16"/>
        <v>0.4839405790475011</v>
      </c>
      <c r="F36" s="2">
        <f t="shared" si="16"/>
        <v>0.54874122033360229</v>
      </c>
      <c r="G36" s="2">
        <f t="shared" si="16"/>
        <v>0.75878671170959999</v>
      </c>
      <c r="H36" s="2">
        <f t="shared" si="16"/>
        <v>1.2259276380981989</v>
      </c>
      <c r="I36" s="2">
        <f t="shared" si="16"/>
        <v>1.5959944747476018</v>
      </c>
      <c r="J36" s="2">
        <f t="shared" si="16"/>
        <v>1.9052543541995994</v>
      </c>
      <c r="K36" s="2" t="str">
        <f t="shared" si="16"/>
        <v>-</v>
      </c>
      <c r="L36" s="2">
        <f t="shared" si="16"/>
        <v>2.2200000000000002</v>
      </c>
      <c r="O36" s="2"/>
      <c r="AB36" s="2"/>
      <c r="AO36" s="2"/>
    </row>
    <row r="37" spans="1:41" x14ac:dyDescent="0.25">
      <c r="AB37" s="2"/>
    </row>
    <row r="39" spans="1:41" x14ac:dyDescent="0.25">
      <c r="A39" s="3" t="s">
        <v>33</v>
      </c>
    </row>
    <row r="40" spans="1:41" ht="15.75" thickBot="1" x14ac:dyDescent="0.3"/>
    <row r="41" spans="1:41" ht="79.5" thickBot="1" x14ac:dyDescent="0.3">
      <c r="B41" s="5" t="s">
        <v>0</v>
      </c>
      <c r="C41" s="6" t="s">
        <v>15</v>
      </c>
      <c r="D41" s="6" t="s">
        <v>16</v>
      </c>
      <c r="E41" s="6" t="s">
        <v>17</v>
      </c>
    </row>
    <row r="42" spans="1:41" ht="16.5" thickBot="1" x14ac:dyDescent="0.3">
      <c r="B42" s="31" t="s">
        <v>1</v>
      </c>
      <c r="C42" s="13">
        <v>20</v>
      </c>
      <c r="D42" s="12">
        <v>-0.6</v>
      </c>
      <c r="E42" s="12">
        <v>-30</v>
      </c>
    </row>
    <row r="43" spans="1:41" ht="16.5" thickBot="1" x14ac:dyDescent="0.3">
      <c r="B43" s="32" t="s">
        <v>3</v>
      </c>
      <c r="C43" s="13">
        <v>23</v>
      </c>
      <c r="D43" s="13">
        <v>-1.2</v>
      </c>
      <c r="E43" s="13">
        <v>-43</v>
      </c>
      <c r="F43" s="14"/>
      <c r="G43" s="14"/>
      <c r="H43" s="14"/>
    </row>
    <row r="44" spans="1:41" ht="16.5" thickBot="1" x14ac:dyDescent="0.3">
      <c r="B44" s="31" t="s">
        <v>4</v>
      </c>
      <c r="C44" s="13">
        <v>30</v>
      </c>
      <c r="D44" s="12">
        <v>-1</v>
      </c>
      <c r="E44" s="12">
        <v>-44</v>
      </c>
      <c r="F44" s="14"/>
      <c r="G44" s="14"/>
      <c r="H44" s="14"/>
    </row>
    <row r="45" spans="1:41" ht="16.5" thickBot="1" x14ac:dyDescent="0.3">
      <c r="B45" s="32" t="s">
        <v>5</v>
      </c>
      <c r="C45" s="13">
        <v>37</v>
      </c>
      <c r="D45" s="13">
        <v>-1.5</v>
      </c>
      <c r="E45" s="13">
        <v>-54</v>
      </c>
      <c r="F45" s="14"/>
      <c r="G45" s="14"/>
      <c r="H45" s="14"/>
    </row>
    <row r="46" spans="1:41" ht="16.5" thickBot="1" x14ac:dyDescent="0.3">
      <c r="B46" s="31" t="s">
        <v>6</v>
      </c>
      <c r="C46" s="13">
        <v>48</v>
      </c>
      <c r="D46" s="12">
        <v>-1.6</v>
      </c>
      <c r="E46" s="12">
        <v>-70</v>
      </c>
      <c r="F46" s="14"/>
      <c r="G46" s="14"/>
      <c r="H46" s="14"/>
    </row>
    <row r="47" spans="1:41" ht="16.5" thickBot="1" x14ac:dyDescent="0.3">
      <c r="B47" s="32" t="s">
        <v>7</v>
      </c>
      <c r="C47" s="13">
        <v>42</v>
      </c>
      <c r="D47" s="13">
        <v>-1.4</v>
      </c>
      <c r="E47" s="13">
        <v>-61</v>
      </c>
      <c r="F47" s="14"/>
      <c r="G47" s="14"/>
      <c r="H47" s="14"/>
    </row>
    <row r="48" spans="1:41" ht="16.5" thickBot="1" x14ac:dyDescent="0.3">
      <c r="B48" s="31" t="s">
        <v>8</v>
      </c>
      <c r="C48" s="13">
        <v>25</v>
      </c>
      <c r="D48" s="13">
        <v>-1</v>
      </c>
      <c r="E48" s="13">
        <v>-37</v>
      </c>
      <c r="F48" s="14"/>
      <c r="G48" s="14"/>
      <c r="H48" s="14"/>
    </row>
    <row r="49" spans="2:8" ht="16.5" thickBot="1" x14ac:dyDescent="0.3">
      <c r="B49" s="33" t="s">
        <v>9</v>
      </c>
      <c r="C49" s="13">
        <v>26</v>
      </c>
      <c r="D49" s="13">
        <v>-0.8</v>
      </c>
      <c r="E49" s="13">
        <v>-38</v>
      </c>
      <c r="F49" s="14"/>
      <c r="G49" s="14"/>
      <c r="H49" s="14"/>
    </row>
  </sheetData>
  <mergeCells count="23">
    <mergeCell ref="S7:S8"/>
    <mergeCell ref="T7:AB7"/>
    <mergeCell ref="AJ6:AN6"/>
    <mergeCell ref="C27:L27"/>
    <mergeCell ref="D5:L5"/>
    <mergeCell ref="C9:C10"/>
    <mergeCell ref="C11:C12"/>
    <mergeCell ref="C13:C14"/>
    <mergeCell ref="C15:C16"/>
    <mergeCell ref="B5:B6"/>
    <mergeCell ref="C21:C22"/>
    <mergeCell ref="B7:B8"/>
    <mergeCell ref="B9:B10"/>
    <mergeCell ref="B11:B12"/>
    <mergeCell ref="B13:B14"/>
    <mergeCell ref="B15:B16"/>
    <mergeCell ref="B17:B18"/>
    <mergeCell ref="B19:B20"/>
    <mergeCell ref="B21:B22"/>
    <mergeCell ref="C5:C6"/>
    <mergeCell ref="C7:C8"/>
    <mergeCell ref="C17:C18"/>
    <mergeCell ref="C19:C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Charts</vt:lpstr>
      </vt:variant>
      <vt:variant>
        <vt:i4>1</vt:i4>
      </vt:variant>
    </vt:vector>
  </HeadingPairs>
  <TitlesOfParts>
    <vt:vector size="4" baseType="lpstr">
      <vt:lpstr>Compare2024to2014</vt:lpstr>
      <vt:lpstr>Table1-2024Prices</vt:lpstr>
      <vt:lpstr>Table1-2014Prices</vt:lpstr>
      <vt:lpstr>CummulativeLossesPlot-2024Price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Mooz</cp:lastModifiedBy>
  <dcterms:created xsi:type="dcterms:W3CDTF">2015-06-05T18:17:20Z</dcterms:created>
  <dcterms:modified xsi:type="dcterms:W3CDTF">2026-07-23T07:12:14Z</dcterms:modified>
</cp:coreProperties>
</file>