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neDrive - Washington State University (email.wsu.edu)\Documents\GitHub\BugFlowExperiment_Analysis2026\Validation\June\Weekend-Weekday&amp;Hourly\"/>
    </mc:Choice>
  </mc:AlternateContent>
  <bookViews>
    <workbookView xWindow="0" yWindow="0" windowWidth="28800" windowHeight="10980" firstSheet="3" activeTab="11"/>
  </bookViews>
  <sheets>
    <sheet name="evap" sheetId="1" r:id="rId1"/>
    <sheet name="initstorage" sheetId="2" r:id="rId2"/>
    <sheet name="minstorage" sheetId="3" r:id="rId3"/>
    <sheet name="maxstorage" sheetId="4" r:id="rId4"/>
    <sheet name="Inflow" sheetId="5" r:id="rId5"/>
    <sheet name="Observed_release2018" sheetId="6" r:id="rId6"/>
    <sheet name="Sheet3" sheetId="8" r:id="rId7"/>
    <sheet name="Observed_Release(Hr)" sheetId="17" r:id="rId8"/>
    <sheet name="Reservoirs" sheetId="9" r:id="rId9"/>
    <sheet name="maxRel" sheetId="10" r:id="rId10"/>
    <sheet name="observed_new" sheetId="11" r:id="rId11"/>
    <sheet name="Rates" sheetId="18" r:id="rId12"/>
    <sheet name="minRel" sheetId="13" r:id="rId13"/>
    <sheet name="day" sheetId="16" r:id="rId14"/>
  </sheets>
  <calcPr calcId="162913"/>
</workbook>
</file>

<file path=xl/calcChain.xml><?xml version="1.0" encoding="utf-8"?>
<calcChain xmlns="http://schemas.openxmlformats.org/spreadsheetml/2006/main">
  <c r="I4" i="1" l="1"/>
</calcChain>
</file>

<file path=xl/sharedStrings.xml><?xml version="1.0" encoding="utf-8"?>
<sst xmlns="http://schemas.openxmlformats.org/spreadsheetml/2006/main" count="214" uniqueCount="67">
  <si>
    <t>Evapoation  Ac-ft(June 2018)</t>
  </si>
  <si>
    <t xml:space="preserve"> (Monthly)</t>
  </si>
  <si>
    <t>(daily)</t>
  </si>
  <si>
    <t>Inflow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</si>
  <si>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</si>
  <si>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</si>
  <si>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</si>
  <si>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</si>
  <si>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</si>
  <si>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</si>
  <si>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</si>
  <si>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</si>
  <si>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</si>
  <si>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</si>
  <si>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</si>
  <si>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</si>
  <si>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</si>
  <si>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</si>
  <si>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</si>
  <si>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</si>
  <si>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</si>
  <si>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</si>
  <si>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</si>
  <si>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</si>
  <si>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</si>
  <si>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</si>
  <si>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</si>
  <si>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</si>
  <si>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</si>
  <si>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</si>
  <si>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</si>
  <si>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</si>
  <si>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</si>
  <si>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</si>
  <si>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pHigh</t>
  </si>
  <si>
    <t>pLow</t>
  </si>
  <si>
    <t>Hydro</t>
  </si>
  <si>
    <t>BugIndex</t>
  </si>
  <si>
    <t>global  (Simulation)</t>
  </si>
  <si>
    <t>Local (Max bugindex)</t>
  </si>
  <si>
    <t>Local (Max Hydro)</t>
  </si>
  <si>
    <t>Powell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</si>
  <si>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</si>
  <si>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</si>
  <si>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</si>
  <si>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</si>
  <si>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</si>
  <si>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</si>
  <si>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</si>
  <si>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</si>
  <si>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</si>
  <si>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</si>
  <si>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</si>
  <si>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</si>
  <si>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</si>
  <si>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</si>
  <si>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</si>
  <si>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</si>
  <si>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</si>
  <si>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</si>
  <si>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</si>
  <si>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</si>
  <si>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</si>
  <si>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</si>
  <si>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</si>
  <si>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</si>
  <si>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Rates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</si>
</sst>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m/d/yy\ h:m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2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079584775086505"/>
          <c:y val="2.144772117962466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474048442906581E-2"/>
          <c:y val="9.1152815013404831E-2"/>
          <c:w val="0.86505190311418689"/>
          <c:h val="0.82841823056300268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66CC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Sheet3!$M$5:$M$7</c:f>
              <c:numCache>
                <c:formatCode>General</c:formatCode>
                <c:ptCount val="3"/>
                <c:pt idx="0">
                  <c:v>15559136.1445783</c:v>
                </c:pt>
                <c:pt idx="1">
                  <c:v>16400238.5868397</c:v>
                </c:pt>
                <c:pt idx="2">
                  <c:v>16805718.269879501</c:v>
                </c:pt>
              </c:numCache>
            </c:numRef>
          </c:xVal>
          <c:yVal>
            <c:numRef>
              <c:f>Sheet3!$N$5:$N$7</c:f>
              <c:numCache>
                <c:formatCode>General</c:formatCode>
                <c:ptCount val="3"/>
                <c:pt idx="0">
                  <c:v>30</c:v>
                </c:pt>
                <c:pt idx="1">
                  <c:v>15</c:v>
                </c:pt>
                <c:pt idx="2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A-4EEE-B1A7-C4DFBBB2A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207743"/>
        <c:axId val="1"/>
      </c:scatterChart>
      <c:valAx>
        <c:axId val="942207743"/>
        <c:scaling>
          <c:orientation val="minMax"/>
        </c:scaling>
        <c:delete val="0"/>
        <c:axPos val="b"/>
        <c:majorGridlines>
          <c:spPr>
            <a:ln w="3175">
              <a:solidFill>
                <a:srgbClr val="E3E3E3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3E3E3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220774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7</xdr:row>
      <xdr:rowOff>19050</xdr:rowOff>
    </xdr:from>
    <xdr:to>
      <xdr:col>14</xdr:col>
      <xdr:colOff>123825</xdr:colOff>
      <xdr:row>25</xdr:row>
      <xdr:rowOff>142875</xdr:rowOff>
    </xdr:to>
    <xdr:graphicFrame macro="">
      <xdr:nvGraphicFramePr>
        <xdr:cNvPr id="1031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 x14ac:dyDescent="0.25"/>
  <sheetData>
    <row r="1" spans="1:10" x14ac:dyDescent="0.25">
      <c r="A1">
        <v>1510</v>
      </c>
    </row>
    <row r="2" spans="1:10" x14ac:dyDescent="0.25">
      <c r="I2" t="s">
        <v>0</v>
      </c>
    </row>
    <row r="3" spans="1:10" x14ac:dyDescent="0.25">
      <c r="I3" s="1">
        <v>45300</v>
      </c>
      <c r="J3" t="s">
        <v>1</v>
      </c>
    </row>
    <row r="4" spans="1:10" x14ac:dyDescent="0.25">
      <c r="I4">
        <f>I3/30</f>
        <v>1510</v>
      </c>
      <c r="J4" t="s">
        <v>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>
        <v>12899134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RowHeight="15" x14ac:dyDescent="0.25"/>
  <sheetData>
    <row r="1" spans="1:1" x14ac:dyDescent="0.25">
      <c r="A1">
        <v>5892163</v>
      </c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5" sqref="D5"/>
    </sheetView>
  </sheetViews>
  <sheetFormatPr defaultRowHeight="15" x14ac:dyDescent="0.25"/>
  <sheetData>
    <row r="1" spans="1:1" x14ac:dyDescent="0.25">
      <c r="A1">
        <v>25000000</v>
      </c>
    </row>
  </sheetData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>
      <selection activeCell="A32" sqref="A32:B32"/>
    </sheetView>
  </sheetViews>
  <sheetFormatPr defaultRowHeight="15" x14ac:dyDescent="0.25"/>
  <sheetData>
    <row r="1" spans="1:2" x14ac:dyDescent="0.25">
      <c r="B1" t="s">
        <v>3</v>
      </c>
    </row>
    <row r="2" spans="1:2" x14ac:dyDescent="0.25">
      <c r="A2" t="s">
        <v>4</v>
      </c>
      <c r="B2">
        <v>22004</v>
      </c>
    </row>
    <row r="3" spans="1:2" x14ac:dyDescent="0.25">
      <c r="A3" t="s">
        <v>5</v>
      </c>
      <c r="B3">
        <v>16148</v>
      </c>
    </row>
    <row r="4" spans="1:2" x14ac:dyDescent="0.25">
      <c r="A4" t="s">
        <v>6</v>
      </c>
      <c r="B4">
        <v>19019</v>
      </c>
    </row>
    <row r="5" spans="1:2" x14ac:dyDescent="0.25">
      <c r="A5" t="s">
        <v>7</v>
      </c>
      <c r="B5">
        <v>18165</v>
      </c>
    </row>
    <row r="6" spans="1:2" x14ac:dyDescent="0.25">
      <c r="A6" t="s">
        <v>8</v>
      </c>
      <c r="B6">
        <v>19528</v>
      </c>
    </row>
    <row r="7" spans="1:2" x14ac:dyDescent="0.25">
      <c r="A7" t="s">
        <v>9</v>
      </c>
      <c r="B7">
        <v>16868</v>
      </c>
    </row>
    <row r="8" spans="1:2" x14ac:dyDescent="0.25">
      <c r="A8" t="s">
        <v>10</v>
      </c>
      <c r="B8">
        <v>14871</v>
      </c>
    </row>
    <row r="9" spans="1:2" x14ac:dyDescent="0.25">
      <c r="A9" t="s">
        <v>11</v>
      </c>
      <c r="B9">
        <v>16358</v>
      </c>
    </row>
    <row r="10" spans="1:2" x14ac:dyDescent="0.25">
      <c r="A10" t="s">
        <v>12</v>
      </c>
      <c r="B10">
        <v>12903</v>
      </c>
    </row>
    <row r="11" spans="1:2" x14ac:dyDescent="0.25">
      <c r="A11" t="s">
        <v>13</v>
      </c>
      <c r="B11">
        <v>14532</v>
      </c>
    </row>
    <row r="12" spans="1:2" x14ac:dyDescent="0.25">
      <c r="A12" t="s">
        <v>14</v>
      </c>
      <c r="B12">
        <v>12022</v>
      </c>
    </row>
    <row r="13" spans="1:2" x14ac:dyDescent="0.25">
      <c r="A13" t="s">
        <v>15</v>
      </c>
      <c r="B13">
        <v>11106</v>
      </c>
    </row>
    <row r="14" spans="1:2" x14ac:dyDescent="0.25">
      <c r="A14" t="s">
        <v>16</v>
      </c>
      <c r="B14">
        <v>8638</v>
      </c>
    </row>
    <row r="15" spans="1:2" x14ac:dyDescent="0.25">
      <c r="A15" t="s">
        <v>17</v>
      </c>
      <c r="B15">
        <v>13191</v>
      </c>
    </row>
    <row r="16" spans="1:2" x14ac:dyDescent="0.25">
      <c r="A16" t="s">
        <v>18</v>
      </c>
      <c r="B16">
        <v>6440</v>
      </c>
    </row>
    <row r="17" spans="1:2" x14ac:dyDescent="0.25">
      <c r="A17" t="s">
        <v>19</v>
      </c>
      <c r="B17">
        <v>8314</v>
      </c>
    </row>
    <row r="18" spans="1:2" x14ac:dyDescent="0.25">
      <c r="A18" t="s">
        <v>20</v>
      </c>
      <c r="B18">
        <v>6074</v>
      </c>
    </row>
    <row r="19" spans="1:2" x14ac:dyDescent="0.25">
      <c r="A19" t="s">
        <v>21</v>
      </c>
      <c r="B19">
        <v>7014</v>
      </c>
    </row>
    <row r="20" spans="1:2" x14ac:dyDescent="0.25">
      <c r="A20" t="s">
        <v>22</v>
      </c>
      <c r="B20">
        <v>9947</v>
      </c>
    </row>
    <row r="21" spans="1:2" x14ac:dyDescent="0.25">
      <c r="A21" t="s">
        <v>23</v>
      </c>
      <c r="B21">
        <v>6905</v>
      </c>
    </row>
    <row r="22" spans="1:2" x14ac:dyDescent="0.25">
      <c r="A22" t="s">
        <v>24</v>
      </c>
      <c r="B22">
        <v>5919</v>
      </c>
    </row>
    <row r="23" spans="1:2" x14ac:dyDescent="0.25">
      <c r="A23" t="s">
        <v>25</v>
      </c>
      <c r="B23">
        <v>9277</v>
      </c>
    </row>
    <row r="24" spans="1:2" x14ac:dyDescent="0.25">
      <c r="A24" t="s">
        <v>26</v>
      </c>
      <c r="B24">
        <v>7507</v>
      </c>
    </row>
    <row r="25" spans="1:2" x14ac:dyDescent="0.25">
      <c r="A25" t="s">
        <v>27</v>
      </c>
      <c r="B25">
        <v>7506</v>
      </c>
    </row>
    <row r="26" spans="1:2" x14ac:dyDescent="0.25">
      <c r="A26" t="s">
        <v>28</v>
      </c>
      <c r="B26">
        <v>4381</v>
      </c>
    </row>
    <row r="27" spans="1:2" x14ac:dyDescent="0.25">
      <c r="A27" t="s">
        <v>29</v>
      </c>
      <c r="B27">
        <v>5891</v>
      </c>
    </row>
    <row r="28" spans="1:2" x14ac:dyDescent="0.25">
      <c r="A28" t="s">
        <v>30</v>
      </c>
      <c r="B28">
        <v>5926</v>
      </c>
    </row>
    <row r="29" spans="1:2" x14ac:dyDescent="0.25">
      <c r="A29" t="s">
        <v>31</v>
      </c>
      <c r="B29">
        <v>4186</v>
      </c>
    </row>
    <row r="30" spans="1:2" x14ac:dyDescent="0.25">
      <c r="A30" t="s">
        <v>32</v>
      </c>
      <c r="B30">
        <v>3710</v>
      </c>
    </row>
    <row r="31" spans="1:2" x14ac:dyDescent="0.25">
      <c r="A31" t="s">
        <v>33</v>
      </c>
      <c r="B31">
        <v>5803</v>
      </c>
    </row>
  </sheetData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H12" sqref="H12"/>
    </sheetView>
  </sheetViews>
  <sheetFormatPr defaultRowHeight="15" x14ac:dyDescent="0.25"/>
  <cols>
    <col min="2" max="2" width="12.5703125" customWidth="1"/>
  </cols>
  <sheetData>
    <row r="1" spans="1:3" x14ac:dyDescent="0.25">
      <c r="B1" t="s">
        <v>34</v>
      </c>
      <c r="C1" t="s">
        <v>35</v>
      </c>
    </row>
    <row r="2" spans="1:3" x14ac:dyDescent="0.25">
      <c r="A2" t="s">
        <v>4</v>
      </c>
      <c r="B2" s="2">
        <v>16215.384615384615</v>
      </c>
      <c r="C2">
        <v>12729.545454545454</v>
      </c>
    </row>
    <row r="3" spans="1:3" x14ac:dyDescent="0.25">
      <c r="A3" t="s">
        <v>5</v>
      </c>
      <c r="B3" s="2">
        <v>10130.76923076923</v>
      </c>
      <c r="C3">
        <v>10147.727272727272</v>
      </c>
    </row>
    <row r="4" spans="1:3" x14ac:dyDescent="0.25">
      <c r="A4" t="s">
        <v>6</v>
      </c>
      <c r="B4" s="2">
        <v>10142.307692307691</v>
      </c>
      <c r="C4">
        <v>10038.40909090909</v>
      </c>
    </row>
    <row r="5" spans="1:3" x14ac:dyDescent="0.25">
      <c r="A5" t="s">
        <v>7</v>
      </c>
      <c r="B5" s="2">
        <v>16165.384615384615</v>
      </c>
      <c r="C5">
        <v>12501.59090909091</v>
      </c>
    </row>
    <row r="6" spans="1:3" x14ac:dyDescent="0.25">
      <c r="A6" t="s">
        <v>8</v>
      </c>
      <c r="B6" s="2">
        <v>15815.384615384615</v>
      </c>
      <c r="C6">
        <v>12718.181818181818</v>
      </c>
    </row>
    <row r="7" spans="1:3" x14ac:dyDescent="0.25">
      <c r="A7" t="s">
        <v>9</v>
      </c>
      <c r="B7" s="2">
        <v>15634.615384615385</v>
      </c>
      <c r="C7">
        <v>12279.09090909091</v>
      </c>
    </row>
    <row r="8" spans="1:3" x14ac:dyDescent="0.25">
      <c r="A8" t="s">
        <v>10</v>
      </c>
      <c r="B8" s="2">
        <v>15875</v>
      </c>
      <c r="C8">
        <v>12952.272727272728</v>
      </c>
    </row>
    <row r="9" spans="1:3" x14ac:dyDescent="0.25">
      <c r="A9" t="s">
        <v>11</v>
      </c>
      <c r="B9" s="2">
        <v>15969.23076923077</v>
      </c>
      <c r="C9">
        <v>12634.09090909091</v>
      </c>
    </row>
    <row r="10" spans="1:3" x14ac:dyDescent="0.25">
      <c r="A10" t="s">
        <v>12</v>
      </c>
      <c r="B10" s="2">
        <v>10134.615384615385</v>
      </c>
      <c r="C10">
        <v>10084.09090909091</v>
      </c>
    </row>
    <row r="11" spans="1:3" x14ac:dyDescent="0.25">
      <c r="A11" t="s">
        <v>13</v>
      </c>
      <c r="B11" s="2">
        <v>10140.384615384615</v>
      </c>
      <c r="C11">
        <v>10005.90909090909</v>
      </c>
    </row>
    <row r="12" spans="1:3" x14ac:dyDescent="0.25">
      <c r="A12" t="s">
        <v>14</v>
      </c>
      <c r="B12" s="2">
        <v>15780.76923076923</v>
      </c>
      <c r="C12">
        <v>13320.454545454546</v>
      </c>
    </row>
    <row r="13" spans="1:3" x14ac:dyDescent="0.25">
      <c r="A13" t="s">
        <v>15</v>
      </c>
      <c r="B13" s="2">
        <v>16028.846153846154</v>
      </c>
      <c r="C13">
        <v>12357.954545454546</v>
      </c>
    </row>
    <row r="14" spans="1:3" x14ac:dyDescent="0.25">
      <c r="A14" t="s">
        <v>16</v>
      </c>
      <c r="B14" s="2">
        <v>15928.846153846154</v>
      </c>
      <c r="C14">
        <v>12530</v>
      </c>
    </row>
    <row r="15" spans="1:3" x14ac:dyDescent="0.25">
      <c r="A15" t="s">
        <v>17</v>
      </c>
      <c r="B15" s="2">
        <v>16123.076923076924</v>
      </c>
      <c r="C15">
        <v>12553.181818181818</v>
      </c>
    </row>
    <row r="16" spans="1:3" x14ac:dyDescent="0.25">
      <c r="A16" t="s">
        <v>18</v>
      </c>
      <c r="B16" s="2">
        <v>15861.538461538461</v>
      </c>
      <c r="C16">
        <v>12613.636363636364</v>
      </c>
    </row>
    <row r="17" spans="1:3" x14ac:dyDescent="0.25">
      <c r="A17" t="s">
        <v>19</v>
      </c>
      <c r="B17" s="2">
        <v>10053.846153846154</v>
      </c>
      <c r="C17">
        <v>10037.272727272728</v>
      </c>
    </row>
    <row r="18" spans="1:3" x14ac:dyDescent="0.25">
      <c r="A18" t="s">
        <v>20</v>
      </c>
      <c r="B18" s="2">
        <v>9989.8076923076915</v>
      </c>
      <c r="C18">
        <v>9912.045454545454</v>
      </c>
    </row>
    <row r="19" spans="1:3" x14ac:dyDescent="0.25">
      <c r="A19" t="s">
        <v>21</v>
      </c>
      <c r="B19" s="2">
        <v>16017.307692307691</v>
      </c>
      <c r="C19">
        <v>12494.545454545454</v>
      </c>
    </row>
    <row r="20" spans="1:3" x14ac:dyDescent="0.25">
      <c r="A20" t="s">
        <v>22</v>
      </c>
      <c r="B20" s="2">
        <v>16173.076923076924</v>
      </c>
      <c r="C20">
        <v>12555.227272727272</v>
      </c>
    </row>
    <row r="21" spans="1:3" x14ac:dyDescent="0.25">
      <c r="A21" t="s">
        <v>23</v>
      </c>
      <c r="B21" s="2">
        <v>15834.615384615385</v>
      </c>
      <c r="C21">
        <v>12473.636363636364</v>
      </c>
    </row>
    <row r="22" spans="1:3" x14ac:dyDescent="0.25">
      <c r="A22" t="s">
        <v>24</v>
      </c>
      <c r="B22" s="2">
        <v>16059.615384615385</v>
      </c>
      <c r="C22">
        <v>12497.272727272728</v>
      </c>
    </row>
    <row r="23" spans="1:3" x14ac:dyDescent="0.25">
      <c r="A23" t="s">
        <v>25</v>
      </c>
      <c r="B23" s="2">
        <v>16098.076923076924</v>
      </c>
      <c r="C23">
        <v>12709.09090909091</v>
      </c>
    </row>
    <row r="24" spans="1:3" x14ac:dyDescent="0.25">
      <c r="A24" t="s">
        <v>26</v>
      </c>
      <c r="B24" s="2">
        <v>10071.923076923076</v>
      </c>
      <c r="C24">
        <v>10077.272727272728</v>
      </c>
    </row>
    <row r="25" spans="1:3" x14ac:dyDescent="0.25">
      <c r="A25" t="s">
        <v>27</v>
      </c>
      <c r="B25" s="2">
        <v>10117.307692307691</v>
      </c>
      <c r="C25">
        <v>10003.181818181818</v>
      </c>
    </row>
    <row r="26" spans="1:3" x14ac:dyDescent="0.25">
      <c r="A26" t="s">
        <v>28</v>
      </c>
      <c r="B26" s="2">
        <v>16242.307692307691</v>
      </c>
      <c r="C26">
        <v>12442.272727272728</v>
      </c>
    </row>
    <row r="27" spans="1:3" x14ac:dyDescent="0.25">
      <c r="A27" t="s">
        <v>29</v>
      </c>
      <c r="B27" s="2">
        <v>15755.76923076923</v>
      </c>
      <c r="C27">
        <v>12724.318181818182</v>
      </c>
    </row>
    <row r="28" spans="1:3" x14ac:dyDescent="0.25">
      <c r="A28" t="s">
        <v>30</v>
      </c>
      <c r="B28" s="2">
        <v>15859.615384615385</v>
      </c>
      <c r="C28">
        <v>12442.272727272728</v>
      </c>
    </row>
    <row r="29" spans="1:3" x14ac:dyDescent="0.25">
      <c r="A29" t="s">
        <v>31</v>
      </c>
      <c r="B29" s="2">
        <v>15888.461538461539</v>
      </c>
      <c r="C29">
        <v>12377.272727272728</v>
      </c>
    </row>
    <row r="30" spans="1:3" x14ac:dyDescent="0.25">
      <c r="A30" t="s">
        <v>32</v>
      </c>
      <c r="B30" s="2">
        <v>15840.384615384615</v>
      </c>
      <c r="C30">
        <v>12620.454545454546</v>
      </c>
    </row>
    <row r="31" spans="1:3" x14ac:dyDescent="0.25">
      <c r="A31" t="s">
        <v>33</v>
      </c>
      <c r="B31" s="2">
        <v>10001.923076923076</v>
      </c>
      <c r="C31">
        <v>10924.772727272728</v>
      </c>
    </row>
  </sheetData>
  <pageMargins left="0.7" right="0.7" top="0.75" bottom="0.75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K4:O7"/>
  <sheetViews>
    <sheetView workbookViewId="0">
      <selection activeCell="S16" sqref="S16"/>
    </sheetView>
  </sheetViews>
  <sheetFormatPr defaultRowHeight="15" x14ac:dyDescent="0.25"/>
  <sheetData>
    <row r="4" spans="11:15" x14ac:dyDescent="0.25">
      <c r="M4" t="s">
        <v>36</v>
      </c>
      <c r="N4" t="s">
        <v>37</v>
      </c>
    </row>
    <row r="5" spans="11:15" x14ac:dyDescent="0.25">
      <c r="K5" t="s">
        <v>37</v>
      </c>
      <c r="M5">
        <v>15559136.1445783</v>
      </c>
      <c r="N5">
        <v>30</v>
      </c>
      <c r="O5" t="s">
        <v>38</v>
      </c>
    </row>
    <row r="6" spans="11:15" x14ac:dyDescent="0.25">
      <c r="M6">
        <v>16400238.5868397</v>
      </c>
      <c r="N6">
        <v>15</v>
      </c>
      <c r="O6" t="s">
        <v>39</v>
      </c>
    </row>
    <row r="7" spans="11:15" x14ac:dyDescent="0.25">
      <c r="M7">
        <v>16805718.269879501</v>
      </c>
      <c r="N7">
        <v>9</v>
      </c>
      <c r="O7" t="s">
        <v>40</v>
      </c>
    </row>
  </sheetData>
  <pageMargins left="0.7" right="0.7" top="0.75" bottom="0.75" header="0.3" footer="0.3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zoomScale="60" zoomScaleNormal="60" workbookViewId="0">
      <selection activeCell="AA20" sqref="AA20"/>
    </sheetView>
  </sheetViews>
  <sheetFormatPr defaultRowHeight="15" x14ac:dyDescent="0.25"/>
  <cols>
    <col min="26" max="26" width="17.7109375" customWidth="1"/>
  </cols>
  <sheetData>
    <row r="1" spans="1:26" x14ac:dyDescent="0.25"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s="3"/>
    </row>
    <row r="2" spans="1:26" x14ac:dyDescent="0.25">
      <c r="A2" t="s">
        <v>4</v>
      </c>
      <c r="B2">
        <v>14025</v>
      </c>
      <c r="C2">
        <v>12900</v>
      </c>
      <c r="D2">
        <v>11650</v>
      </c>
      <c r="E2">
        <v>10700</v>
      </c>
      <c r="F2">
        <v>10010</v>
      </c>
      <c r="G2">
        <v>9607.5</v>
      </c>
      <c r="H2">
        <v>9682.5</v>
      </c>
      <c r="I2">
        <v>10322.5</v>
      </c>
      <c r="J2">
        <v>11275</v>
      </c>
      <c r="K2">
        <v>12400</v>
      </c>
      <c r="L2">
        <v>13875</v>
      </c>
      <c r="M2">
        <v>15225</v>
      </c>
      <c r="N2">
        <v>16150</v>
      </c>
      <c r="O2">
        <v>16600</v>
      </c>
      <c r="P2">
        <v>16900</v>
      </c>
      <c r="Q2">
        <v>17000</v>
      </c>
      <c r="R2">
        <v>17100</v>
      </c>
      <c r="S2">
        <v>17100</v>
      </c>
      <c r="T2">
        <v>17125</v>
      </c>
      <c r="U2">
        <v>17100</v>
      </c>
      <c r="V2">
        <v>17125</v>
      </c>
      <c r="W2">
        <v>17100</v>
      </c>
      <c r="X2">
        <v>17075</v>
      </c>
      <c r="Y2">
        <v>16625</v>
      </c>
      <c r="Z2" s="3"/>
    </row>
    <row r="3" spans="1:26" x14ac:dyDescent="0.25">
      <c r="A3" t="s">
        <v>5</v>
      </c>
      <c r="B3">
        <v>15525</v>
      </c>
      <c r="C3">
        <v>14025</v>
      </c>
      <c r="D3">
        <v>12600</v>
      </c>
      <c r="E3">
        <v>11600</v>
      </c>
      <c r="F3">
        <v>11000</v>
      </c>
      <c r="G3">
        <v>10625</v>
      </c>
      <c r="H3">
        <v>10425</v>
      </c>
      <c r="I3">
        <v>10300</v>
      </c>
      <c r="J3">
        <v>10225</v>
      </c>
      <c r="K3">
        <v>10175</v>
      </c>
      <c r="L3">
        <v>10175</v>
      </c>
      <c r="M3">
        <v>10175</v>
      </c>
      <c r="N3">
        <v>10175</v>
      </c>
      <c r="O3">
        <v>10200</v>
      </c>
      <c r="P3">
        <v>10100</v>
      </c>
      <c r="Q3">
        <v>10100</v>
      </c>
      <c r="R3">
        <v>10100</v>
      </c>
      <c r="S3">
        <v>10100</v>
      </c>
      <c r="T3">
        <v>10100</v>
      </c>
      <c r="U3">
        <v>10100</v>
      </c>
      <c r="V3">
        <v>10100</v>
      </c>
      <c r="W3">
        <v>10100</v>
      </c>
      <c r="X3">
        <v>10100</v>
      </c>
      <c r="Y3">
        <v>10100</v>
      </c>
      <c r="Z3" s="3"/>
    </row>
    <row r="4" spans="1:26" x14ac:dyDescent="0.25">
      <c r="A4" t="s">
        <v>6</v>
      </c>
      <c r="B4">
        <v>10100</v>
      </c>
      <c r="C4">
        <v>10150</v>
      </c>
      <c r="D4">
        <v>10200</v>
      </c>
      <c r="E4">
        <v>10150</v>
      </c>
      <c r="F4">
        <v>10125</v>
      </c>
      <c r="G4">
        <v>10100</v>
      </c>
      <c r="H4">
        <v>10200</v>
      </c>
      <c r="I4">
        <v>10200</v>
      </c>
      <c r="J4">
        <v>10200</v>
      </c>
      <c r="K4">
        <v>10200</v>
      </c>
      <c r="L4">
        <v>10200</v>
      </c>
      <c r="M4">
        <v>10200</v>
      </c>
      <c r="N4">
        <v>10175</v>
      </c>
      <c r="O4">
        <v>10175</v>
      </c>
      <c r="P4">
        <v>10175</v>
      </c>
      <c r="Q4">
        <v>10125</v>
      </c>
      <c r="R4">
        <v>10100</v>
      </c>
      <c r="S4">
        <v>10100</v>
      </c>
      <c r="T4">
        <v>10100</v>
      </c>
      <c r="U4">
        <v>10100</v>
      </c>
      <c r="V4">
        <v>10100</v>
      </c>
      <c r="W4">
        <v>10100</v>
      </c>
      <c r="X4">
        <v>10100</v>
      </c>
      <c r="Y4">
        <v>10150</v>
      </c>
      <c r="Z4" s="3"/>
    </row>
    <row r="5" spans="1:26" x14ac:dyDescent="0.25">
      <c r="A5" t="s">
        <v>7</v>
      </c>
      <c r="B5">
        <v>10175</v>
      </c>
      <c r="C5">
        <v>10125</v>
      </c>
      <c r="D5">
        <v>10125</v>
      </c>
      <c r="E5">
        <v>10022.5</v>
      </c>
      <c r="F5">
        <v>9720</v>
      </c>
      <c r="G5">
        <v>9467.5</v>
      </c>
      <c r="H5">
        <v>9535</v>
      </c>
      <c r="I5">
        <v>10052.5</v>
      </c>
      <c r="J5">
        <v>10950</v>
      </c>
      <c r="K5">
        <v>12175</v>
      </c>
      <c r="L5">
        <v>13675</v>
      </c>
      <c r="M5">
        <v>15125</v>
      </c>
      <c r="N5">
        <v>16025</v>
      </c>
      <c r="O5">
        <v>16575</v>
      </c>
      <c r="P5">
        <v>16950</v>
      </c>
      <c r="Q5">
        <v>17025</v>
      </c>
      <c r="R5">
        <v>17075</v>
      </c>
      <c r="S5">
        <v>17075</v>
      </c>
      <c r="T5">
        <v>17125</v>
      </c>
      <c r="U5">
        <v>17100</v>
      </c>
      <c r="V5">
        <v>17100</v>
      </c>
      <c r="W5">
        <v>17125</v>
      </c>
      <c r="X5">
        <v>17125</v>
      </c>
      <c r="Y5">
        <v>16700</v>
      </c>
      <c r="Z5" s="3"/>
    </row>
    <row r="6" spans="1:26" x14ac:dyDescent="0.25">
      <c r="A6" t="s">
        <v>8</v>
      </c>
      <c r="B6">
        <v>15600</v>
      </c>
      <c r="C6">
        <v>14050</v>
      </c>
      <c r="D6">
        <v>12450</v>
      </c>
      <c r="E6">
        <v>11175</v>
      </c>
      <c r="F6">
        <v>10325</v>
      </c>
      <c r="G6">
        <v>9725</v>
      </c>
      <c r="H6">
        <v>9637.5</v>
      </c>
      <c r="I6">
        <v>10055</v>
      </c>
      <c r="J6">
        <v>10675</v>
      </c>
      <c r="K6">
        <v>11775</v>
      </c>
      <c r="L6">
        <v>13175</v>
      </c>
      <c r="M6">
        <v>14550</v>
      </c>
      <c r="N6">
        <v>15625</v>
      </c>
      <c r="O6">
        <v>16300</v>
      </c>
      <c r="P6">
        <v>16650</v>
      </c>
      <c r="Q6">
        <v>16750</v>
      </c>
      <c r="R6">
        <v>16825</v>
      </c>
      <c r="S6">
        <v>16850</v>
      </c>
      <c r="T6">
        <v>16825</v>
      </c>
      <c r="U6">
        <v>16775</v>
      </c>
      <c r="V6">
        <v>16750</v>
      </c>
      <c r="W6">
        <v>16750</v>
      </c>
      <c r="X6">
        <v>16675</v>
      </c>
      <c r="Y6">
        <v>16300</v>
      </c>
      <c r="Z6" s="3"/>
    </row>
    <row r="7" spans="1:26" x14ac:dyDescent="0.25">
      <c r="A7" t="s">
        <v>9</v>
      </c>
      <c r="B7">
        <v>15300</v>
      </c>
      <c r="C7">
        <v>13850</v>
      </c>
      <c r="D7">
        <v>12625</v>
      </c>
      <c r="E7">
        <v>11800</v>
      </c>
      <c r="F7">
        <v>11100</v>
      </c>
      <c r="G7">
        <v>10675</v>
      </c>
      <c r="H7">
        <v>10425</v>
      </c>
      <c r="I7">
        <v>10350</v>
      </c>
      <c r="J7">
        <v>10800</v>
      </c>
      <c r="K7">
        <v>11850</v>
      </c>
      <c r="L7">
        <v>13150</v>
      </c>
      <c r="M7">
        <v>14275</v>
      </c>
      <c r="N7">
        <v>15100</v>
      </c>
      <c r="O7">
        <v>15725</v>
      </c>
      <c r="P7">
        <v>16150</v>
      </c>
      <c r="Q7">
        <v>16550</v>
      </c>
      <c r="R7">
        <v>16625</v>
      </c>
      <c r="S7">
        <v>16750</v>
      </c>
      <c r="T7">
        <v>16775</v>
      </c>
      <c r="U7">
        <v>16750</v>
      </c>
      <c r="V7">
        <v>16775</v>
      </c>
      <c r="W7">
        <v>16775</v>
      </c>
      <c r="X7">
        <v>16700</v>
      </c>
      <c r="Y7">
        <v>16300</v>
      </c>
      <c r="Z7" s="3"/>
    </row>
    <row r="8" spans="1:26" x14ac:dyDescent="0.25">
      <c r="A8" t="s">
        <v>10</v>
      </c>
      <c r="B8">
        <v>15325</v>
      </c>
      <c r="C8">
        <v>13850</v>
      </c>
      <c r="D8">
        <v>12400</v>
      </c>
      <c r="E8">
        <v>11200</v>
      </c>
      <c r="F8">
        <v>10350</v>
      </c>
      <c r="G8">
        <v>9752.5</v>
      </c>
      <c r="H8">
        <v>9440</v>
      </c>
      <c r="I8">
        <v>9515</v>
      </c>
      <c r="J8">
        <v>10237.5</v>
      </c>
      <c r="K8">
        <v>11450</v>
      </c>
      <c r="L8">
        <v>12925</v>
      </c>
      <c r="M8">
        <v>14475</v>
      </c>
      <c r="N8">
        <v>15650</v>
      </c>
      <c r="O8">
        <v>16275</v>
      </c>
      <c r="P8">
        <v>16700</v>
      </c>
      <c r="Q8">
        <v>16900</v>
      </c>
      <c r="R8">
        <v>16975</v>
      </c>
      <c r="S8">
        <v>17000</v>
      </c>
      <c r="T8">
        <v>16925</v>
      </c>
      <c r="U8">
        <v>16975</v>
      </c>
      <c r="V8">
        <v>17050</v>
      </c>
      <c r="W8">
        <v>17075</v>
      </c>
      <c r="X8">
        <v>17100</v>
      </c>
      <c r="Y8">
        <v>16800</v>
      </c>
      <c r="Z8" s="3"/>
    </row>
    <row r="9" spans="1:26" x14ac:dyDescent="0.25">
      <c r="A9" t="s">
        <v>11</v>
      </c>
      <c r="B9">
        <v>16325</v>
      </c>
      <c r="C9">
        <v>15300</v>
      </c>
      <c r="D9">
        <v>13825</v>
      </c>
      <c r="E9">
        <v>12300</v>
      </c>
      <c r="F9">
        <v>11050</v>
      </c>
      <c r="G9">
        <v>10192.5</v>
      </c>
      <c r="H9">
        <v>9680</v>
      </c>
      <c r="I9">
        <v>9620</v>
      </c>
      <c r="J9">
        <v>10282.5</v>
      </c>
      <c r="K9">
        <v>11550</v>
      </c>
      <c r="L9">
        <v>13200</v>
      </c>
      <c r="M9">
        <v>14775</v>
      </c>
      <c r="N9">
        <v>15775</v>
      </c>
      <c r="O9">
        <v>16425</v>
      </c>
      <c r="P9">
        <v>16700</v>
      </c>
      <c r="Q9">
        <v>16875</v>
      </c>
      <c r="R9">
        <v>16975</v>
      </c>
      <c r="S9">
        <v>17050</v>
      </c>
      <c r="T9">
        <v>17125</v>
      </c>
      <c r="U9">
        <v>17100</v>
      </c>
      <c r="V9">
        <v>17050</v>
      </c>
      <c r="W9">
        <v>17000</v>
      </c>
      <c r="X9">
        <v>16975</v>
      </c>
      <c r="Y9">
        <v>16525</v>
      </c>
      <c r="Z9" s="3"/>
    </row>
    <row r="10" spans="1:26" x14ac:dyDescent="0.25">
      <c r="A10" t="s">
        <v>12</v>
      </c>
      <c r="B10">
        <v>15500</v>
      </c>
      <c r="C10">
        <v>13975</v>
      </c>
      <c r="D10">
        <v>12525</v>
      </c>
      <c r="E10">
        <v>11475</v>
      </c>
      <c r="F10">
        <v>10850</v>
      </c>
      <c r="G10">
        <v>10525</v>
      </c>
      <c r="H10">
        <v>10300</v>
      </c>
      <c r="I10">
        <v>10200</v>
      </c>
      <c r="J10">
        <v>10125</v>
      </c>
      <c r="K10">
        <v>10100</v>
      </c>
      <c r="L10">
        <v>10100</v>
      </c>
      <c r="M10">
        <v>10150</v>
      </c>
      <c r="N10">
        <v>10200</v>
      </c>
      <c r="O10">
        <v>10125</v>
      </c>
      <c r="P10">
        <v>10125</v>
      </c>
      <c r="Q10">
        <v>10150</v>
      </c>
      <c r="R10">
        <v>10125</v>
      </c>
      <c r="S10">
        <v>10200</v>
      </c>
      <c r="T10">
        <v>10125</v>
      </c>
      <c r="U10">
        <v>10100</v>
      </c>
      <c r="V10">
        <v>10150</v>
      </c>
      <c r="W10">
        <v>10100</v>
      </c>
      <c r="X10">
        <v>10100</v>
      </c>
      <c r="Y10">
        <v>10100</v>
      </c>
      <c r="Z10" s="3"/>
    </row>
    <row r="11" spans="1:26" x14ac:dyDescent="0.25">
      <c r="A11" t="s">
        <v>13</v>
      </c>
      <c r="B11">
        <v>10100</v>
      </c>
      <c r="C11">
        <v>10025</v>
      </c>
      <c r="D11">
        <v>10025</v>
      </c>
      <c r="E11">
        <v>10075</v>
      </c>
      <c r="F11">
        <v>10100</v>
      </c>
      <c r="G11">
        <v>10100</v>
      </c>
      <c r="H11">
        <v>10100</v>
      </c>
      <c r="I11">
        <v>10100</v>
      </c>
      <c r="J11">
        <v>10100</v>
      </c>
      <c r="K11">
        <v>10100</v>
      </c>
      <c r="L11">
        <v>10100</v>
      </c>
      <c r="M11">
        <v>10100</v>
      </c>
      <c r="N11">
        <v>10100</v>
      </c>
      <c r="O11">
        <v>10100</v>
      </c>
      <c r="P11">
        <v>10100</v>
      </c>
      <c r="Q11">
        <v>10150</v>
      </c>
      <c r="R11">
        <v>10100</v>
      </c>
      <c r="S11">
        <v>10175</v>
      </c>
      <c r="T11">
        <v>10200</v>
      </c>
      <c r="U11">
        <v>10200</v>
      </c>
      <c r="V11">
        <v>10200</v>
      </c>
      <c r="W11">
        <v>10200</v>
      </c>
      <c r="X11">
        <v>10200</v>
      </c>
      <c r="Y11">
        <v>10100</v>
      </c>
      <c r="Z11" s="3"/>
    </row>
    <row r="12" spans="1:26" x14ac:dyDescent="0.25">
      <c r="A12" t="s">
        <v>14</v>
      </c>
      <c r="B12">
        <v>10100</v>
      </c>
      <c r="C12">
        <v>10100</v>
      </c>
      <c r="D12">
        <v>9980</v>
      </c>
      <c r="E12">
        <v>9810</v>
      </c>
      <c r="F12">
        <v>9547.5</v>
      </c>
      <c r="G12">
        <v>9365</v>
      </c>
      <c r="H12">
        <v>9477.5</v>
      </c>
      <c r="I12">
        <v>10185</v>
      </c>
      <c r="J12">
        <v>11200</v>
      </c>
      <c r="K12">
        <v>12025</v>
      </c>
      <c r="L12">
        <v>13000</v>
      </c>
      <c r="M12">
        <v>14175</v>
      </c>
      <c r="N12">
        <v>15275</v>
      </c>
      <c r="O12">
        <v>15975</v>
      </c>
      <c r="P12">
        <v>16425</v>
      </c>
      <c r="Q12">
        <v>16675</v>
      </c>
      <c r="R12">
        <v>16825</v>
      </c>
      <c r="S12">
        <v>16950</v>
      </c>
      <c r="T12">
        <v>16900</v>
      </c>
      <c r="U12">
        <v>16950</v>
      </c>
      <c r="V12">
        <v>16950</v>
      </c>
      <c r="W12">
        <v>17025</v>
      </c>
      <c r="X12">
        <v>16975</v>
      </c>
      <c r="Y12">
        <v>16625</v>
      </c>
      <c r="Z12" s="3"/>
    </row>
    <row r="13" spans="1:26" x14ac:dyDescent="0.25">
      <c r="A13" t="s">
        <v>15</v>
      </c>
      <c r="B13">
        <v>15800</v>
      </c>
      <c r="C13">
        <v>14475</v>
      </c>
      <c r="D13">
        <v>13100</v>
      </c>
      <c r="E13">
        <v>12150</v>
      </c>
      <c r="F13">
        <v>11475</v>
      </c>
      <c r="G13">
        <v>11075</v>
      </c>
      <c r="H13">
        <v>11175</v>
      </c>
      <c r="I13">
        <v>11600</v>
      </c>
      <c r="J13">
        <v>12075</v>
      </c>
      <c r="K13">
        <v>12700</v>
      </c>
      <c r="L13">
        <v>13725</v>
      </c>
      <c r="M13">
        <v>14875</v>
      </c>
      <c r="N13">
        <v>15800</v>
      </c>
      <c r="O13">
        <v>16300</v>
      </c>
      <c r="P13">
        <v>16625</v>
      </c>
      <c r="Q13">
        <v>16750</v>
      </c>
      <c r="R13">
        <v>16850</v>
      </c>
      <c r="S13">
        <v>16950</v>
      </c>
      <c r="T13">
        <v>16950</v>
      </c>
      <c r="U13">
        <v>17000</v>
      </c>
      <c r="V13">
        <v>16925</v>
      </c>
      <c r="W13">
        <v>16925</v>
      </c>
      <c r="X13">
        <v>16725</v>
      </c>
      <c r="Y13">
        <v>16075</v>
      </c>
      <c r="Z13" s="3"/>
    </row>
    <row r="14" spans="1:26" x14ac:dyDescent="0.25">
      <c r="A14" t="s">
        <v>16</v>
      </c>
      <c r="B14">
        <v>14875</v>
      </c>
      <c r="C14">
        <v>13550</v>
      </c>
      <c r="D14">
        <v>12300</v>
      </c>
      <c r="E14">
        <v>11250</v>
      </c>
      <c r="F14">
        <v>10400</v>
      </c>
      <c r="G14">
        <v>9827.5</v>
      </c>
      <c r="H14">
        <v>9690</v>
      </c>
      <c r="I14">
        <v>10120</v>
      </c>
      <c r="J14">
        <v>11125</v>
      </c>
      <c r="K14">
        <v>12275</v>
      </c>
      <c r="L14">
        <v>13450</v>
      </c>
      <c r="M14">
        <v>14600</v>
      </c>
      <c r="N14">
        <v>15625</v>
      </c>
      <c r="O14">
        <v>16225</v>
      </c>
      <c r="P14">
        <v>16625</v>
      </c>
      <c r="Q14">
        <v>16750</v>
      </c>
      <c r="R14">
        <v>16825</v>
      </c>
      <c r="S14">
        <v>16925</v>
      </c>
      <c r="T14">
        <v>16925</v>
      </c>
      <c r="U14">
        <v>16950</v>
      </c>
      <c r="V14">
        <v>16925</v>
      </c>
      <c r="W14">
        <v>16975</v>
      </c>
      <c r="X14">
        <v>16950</v>
      </c>
      <c r="Y14">
        <v>16425</v>
      </c>
      <c r="Z14" s="3"/>
    </row>
    <row r="15" spans="1:26" x14ac:dyDescent="0.25">
      <c r="A15" t="s">
        <v>17</v>
      </c>
      <c r="B15">
        <v>15375</v>
      </c>
      <c r="C15">
        <v>13825</v>
      </c>
      <c r="D15">
        <v>12550</v>
      </c>
      <c r="E15">
        <v>11450</v>
      </c>
      <c r="F15">
        <v>10500</v>
      </c>
      <c r="G15">
        <v>9910</v>
      </c>
      <c r="H15">
        <v>9767.5</v>
      </c>
      <c r="I15">
        <v>10127.5</v>
      </c>
      <c r="J15">
        <v>10950</v>
      </c>
      <c r="K15">
        <v>12200</v>
      </c>
      <c r="L15">
        <v>13775</v>
      </c>
      <c r="M15">
        <v>15075</v>
      </c>
      <c r="N15">
        <v>15975</v>
      </c>
      <c r="O15">
        <v>16500</v>
      </c>
      <c r="P15">
        <v>16700</v>
      </c>
      <c r="Q15">
        <v>16850</v>
      </c>
      <c r="R15">
        <v>16950</v>
      </c>
      <c r="S15">
        <v>17075</v>
      </c>
      <c r="T15">
        <v>17150</v>
      </c>
      <c r="U15">
        <v>17075</v>
      </c>
      <c r="V15">
        <v>17100</v>
      </c>
      <c r="W15">
        <v>17175</v>
      </c>
      <c r="X15">
        <v>16975</v>
      </c>
      <c r="Y15">
        <v>16525</v>
      </c>
      <c r="Z15" s="3"/>
    </row>
    <row r="16" spans="1:26" x14ac:dyDescent="0.25">
      <c r="A16" t="s">
        <v>18</v>
      </c>
      <c r="B16">
        <v>15400</v>
      </c>
      <c r="C16">
        <v>13900</v>
      </c>
      <c r="D16">
        <v>12525</v>
      </c>
      <c r="E16">
        <v>11400</v>
      </c>
      <c r="F16">
        <v>10500</v>
      </c>
      <c r="G16">
        <v>9907.5</v>
      </c>
      <c r="H16">
        <v>9780</v>
      </c>
      <c r="I16">
        <v>10197.5</v>
      </c>
      <c r="J16">
        <v>10975</v>
      </c>
      <c r="K16">
        <v>12125</v>
      </c>
      <c r="L16">
        <v>13300</v>
      </c>
      <c r="M16">
        <v>14325</v>
      </c>
      <c r="N16">
        <v>15325</v>
      </c>
      <c r="O16">
        <v>16075</v>
      </c>
      <c r="P16">
        <v>16450</v>
      </c>
      <c r="Q16">
        <v>16775</v>
      </c>
      <c r="R16">
        <v>16900</v>
      </c>
      <c r="S16">
        <v>16925</v>
      </c>
      <c r="T16">
        <v>16975</v>
      </c>
      <c r="U16">
        <v>16975</v>
      </c>
      <c r="V16">
        <v>17000</v>
      </c>
      <c r="W16">
        <v>17050</v>
      </c>
      <c r="X16">
        <v>16975</v>
      </c>
      <c r="Y16">
        <v>16525</v>
      </c>
      <c r="Z16" s="3"/>
    </row>
    <row r="17" spans="1:26" x14ac:dyDescent="0.25">
      <c r="A17" t="s">
        <v>19</v>
      </c>
      <c r="B17">
        <v>15450</v>
      </c>
      <c r="C17">
        <v>13900</v>
      </c>
      <c r="D17">
        <v>12525</v>
      </c>
      <c r="E17">
        <v>11500</v>
      </c>
      <c r="F17">
        <v>10875</v>
      </c>
      <c r="G17">
        <v>10500</v>
      </c>
      <c r="H17">
        <v>10250</v>
      </c>
      <c r="I17">
        <v>10150</v>
      </c>
      <c r="J17">
        <v>10100</v>
      </c>
      <c r="K17">
        <v>10100</v>
      </c>
      <c r="L17">
        <v>10100</v>
      </c>
      <c r="M17">
        <v>10100</v>
      </c>
      <c r="N17">
        <v>10075</v>
      </c>
      <c r="O17">
        <v>10075</v>
      </c>
      <c r="P17">
        <v>10075</v>
      </c>
      <c r="Q17">
        <v>10025</v>
      </c>
      <c r="R17">
        <v>10000</v>
      </c>
      <c r="S17">
        <v>10025</v>
      </c>
      <c r="T17">
        <v>10025</v>
      </c>
      <c r="U17">
        <v>10000</v>
      </c>
      <c r="V17">
        <v>10050</v>
      </c>
      <c r="W17">
        <v>10050</v>
      </c>
      <c r="X17">
        <v>10050</v>
      </c>
      <c r="Y17">
        <v>10075</v>
      </c>
      <c r="Z17" s="3"/>
    </row>
    <row r="18" spans="1:26" x14ac:dyDescent="0.25">
      <c r="A18" t="s">
        <v>20</v>
      </c>
      <c r="B18">
        <v>10100</v>
      </c>
      <c r="C18">
        <v>10100</v>
      </c>
      <c r="D18">
        <v>10100</v>
      </c>
      <c r="E18">
        <v>10022.5</v>
      </c>
      <c r="F18">
        <v>9995</v>
      </c>
      <c r="G18">
        <v>9995</v>
      </c>
      <c r="H18">
        <v>9990</v>
      </c>
      <c r="I18">
        <v>9992.5</v>
      </c>
      <c r="J18">
        <v>9990</v>
      </c>
      <c r="K18">
        <v>9990</v>
      </c>
      <c r="L18">
        <v>9995</v>
      </c>
      <c r="M18">
        <v>9980</v>
      </c>
      <c r="N18">
        <v>9992.5</v>
      </c>
      <c r="O18">
        <v>9995</v>
      </c>
      <c r="P18">
        <v>10000</v>
      </c>
      <c r="Q18">
        <v>9990</v>
      </c>
      <c r="R18">
        <v>9990</v>
      </c>
      <c r="S18">
        <v>10000</v>
      </c>
      <c r="T18">
        <v>9985</v>
      </c>
      <c r="U18">
        <v>9980</v>
      </c>
      <c r="V18">
        <v>9985</v>
      </c>
      <c r="W18">
        <v>9985</v>
      </c>
      <c r="X18">
        <v>9995</v>
      </c>
      <c r="Y18">
        <v>9995</v>
      </c>
      <c r="Z18" s="3"/>
    </row>
    <row r="19" spans="1:26" x14ac:dyDescent="0.25">
      <c r="A19" t="s">
        <v>21</v>
      </c>
      <c r="B19">
        <v>9995</v>
      </c>
      <c r="C19">
        <v>9990</v>
      </c>
      <c r="D19">
        <v>10025</v>
      </c>
      <c r="E19">
        <v>9927.5</v>
      </c>
      <c r="F19">
        <v>9650</v>
      </c>
      <c r="G19">
        <v>9390</v>
      </c>
      <c r="H19">
        <v>9400</v>
      </c>
      <c r="I19">
        <v>9815</v>
      </c>
      <c r="J19">
        <v>10850</v>
      </c>
      <c r="K19">
        <v>12250</v>
      </c>
      <c r="L19">
        <v>13725</v>
      </c>
      <c r="M19">
        <v>14925</v>
      </c>
      <c r="N19">
        <v>15800</v>
      </c>
      <c r="O19">
        <v>16275</v>
      </c>
      <c r="P19">
        <v>16575</v>
      </c>
      <c r="Q19">
        <v>16800</v>
      </c>
      <c r="R19">
        <v>16925</v>
      </c>
      <c r="S19">
        <v>16975</v>
      </c>
      <c r="T19">
        <v>17000</v>
      </c>
      <c r="U19">
        <v>17000</v>
      </c>
      <c r="V19">
        <v>16975</v>
      </c>
      <c r="W19">
        <v>17000</v>
      </c>
      <c r="X19">
        <v>16900</v>
      </c>
      <c r="Y19">
        <v>16450</v>
      </c>
      <c r="Z19" s="3"/>
    </row>
    <row r="20" spans="1:26" x14ac:dyDescent="0.25">
      <c r="A20" t="s">
        <v>22</v>
      </c>
      <c r="B20">
        <v>15350</v>
      </c>
      <c r="C20">
        <v>13850</v>
      </c>
      <c r="D20">
        <v>12375</v>
      </c>
      <c r="E20">
        <v>11250</v>
      </c>
      <c r="F20">
        <v>10350</v>
      </c>
      <c r="G20">
        <v>9847.5</v>
      </c>
      <c r="H20">
        <v>9757.5</v>
      </c>
      <c r="I20">
        <v>10185</v>
      </c>
      <c r="J20">
        <v>11125</v>
      </c>
      <c r="K20">
        <v>12300</v>
      </c>
      <c r="L20">
        <v>13800</v>
      </c>
      <c r="M20">
        <v>15125</v>
      </c>
      <c r="N20">
        <v>16025</v>
      </c>
      <c r="O20">
        <v>16600</v>
      </c>
      <c r="P20">
        <v>16975</v>
      </c>
      <c r="Q20">
        <v>17075</v>
      </c>
      <c r="R20">
        <v>17175</v>
      </c>
      <c r="S20">
        <v>17250</v>
      </c>
      <c r="T20">
        <v>17225</v>
      </c>
      <c r="U20">
        <v>17075</v>
      </c>
      <c r="V20">
        <v>16800</v>
      </c>
      <c r="W20">
        <v>16825</v>
      </c>
      <c r="X20">
        <v>16975</v>
      </c>
      <c r="Y20">
        <v>16550</v>
      </c>
      <c r="Z20" s="3"/>
    </row>
    <row r="21" spans="1:26" x14ac:dyDescent="0.25">
      <c r="A21" t="s">
        <v>23</v>
      </c>
      <c r="B21">
        <v>15650</v>
      </c>
      <c r="C21">
        <v>14250</v>
      </c>
      <c r="D21">
        <v>12750</v>
      </c>
      <c r="E21">
        <v>11550</v>
      </c>
      <c r="F21">
        <v>10600</v>
      </c>
      <c r="G21">
        <v>9920</v>
      </c>
      <c r="H21">
        <v>9627.5</v>
      </c>
      <c r="I21">
        <v>9810</v>
      </c>
      <c r="J21">
        <v>10425</v>
      </c>
      <c r="K21">
        <v>11400</v>
      </c>
      <c r="L21">
        <v>12850</v>
      </c>
      <c r="M21">
        <v>14425</v>
      </c>
      <c r="N21">
        <v>15475</v>
      </c>
      <c r="O21">
        <v>16150</v>
      </c>
      <c r="P21">
        <v>16550</v>
      </c>
      <c r="Q21">
        <v>16825</v>
      </c>
      <c r="R21">
        <v>16950</v>
      </c>
      <c r="S21">
        <v>17000</v>
      </c>
      <c r="T21">
        <v>17025</v>
      </c>
      <c r="U21">
        <v>17075</v>
      </c>
      <c r="V21">
        <v>17075</v>
      </c>
      <c r="W21">
        <v>17050</v>
      </c>
      <c r="X21">
        <v>17000</v>
      </c>
      <c r="Y21">
        <v>16500</v>
      </c>
      <c r="Z21" s="3"/>
    </row>
    <row r="22" spans="1:26" x14ac:dyDescent="0.25">
      <c r="A22" t="s">
        <v>24</v>
      </c>
      <c r="B22">
        <v>15475</v>
      </c>
      <c r="C22">
        <v>13925</v>
      </c>
      <c r="D22">
        <v>12400</v>
      </c>
      <c r="E22">
        <v>11175</v>
      </c>
      <c r="F22">
        <v>10300</v>
      </c>
      <c r="G22">
        <v>9740</v>
      </c>
      <c r="H22">
        <v>9625</v>
      </c>
      <c r="I22">
        <v>10020</v>
      </c>
      <c r="J22">
        <v>11050</v>
      </c>
      <c r="K22">
        <v>12375</v>
      </c>
      <c r="L22">
        <v>13825</v>
      </c>
      <c r="M22">
        <v>15025</v>
      </c>
      <c r="N22">
        <v>15800</v>
      </c>
      <c r="O22">
        <v>16350</v>
      </c>
      <c r="P22">
        <v>16600</v>
      </c>
      <c r="Q22">
        <v>16825</v>
      </c>
      <c r="R22">
        <v>16925</v>
      </c>
      <c r="S22">
        <v>16900</v>
      </c>
      <c r="T22">
        <v>17025</v>
      </c>
      <c r="U22">
        <v>17025</v>
      </c>
      <c r="V22">
        <v>17025</v>
      </c>
      <c r="W22">
        <v>17075</v>
      </c>
      <c r="X22">
        <v>16925</v>
      </c>
      <c r="Y22">
        <v>16475</v>
      </c>
      <c r="Z22" s="3"/>
    </row>
    <row r="23" spans="1:26" x14ac:dyDescent="0.25">
      <c r="A23" t="s">
        <v>25</v>
      </c>
      <c r="B23">
        <v>15375</v>
      </c>
      <c r="C23">
        <v>13875</v>
      </c>
      <c r="D23">
        <v>12425</v>
      </c>
      <c r="E23">
        <v>11350</v>
      </c>
      <c r="F23">
        <v>10425</v>
      </c>
      <c r="G23">
        <v>9845</v>
      </c>
      <c r="H23">
        <v>9690</v>
      </c>
      <c r="I23">
        <v>10060</v>
      </c>
      <c r="J23">
        <v>11025</v>
      </c>
      <c r="K23">
        <v>12400</v>
      </c>
      <c r="L23">
        <v>13800</v>
      </c>
      <c r="M23">
        <v>15025</v>
      </c>
      <c r="N23">
        <v>15850</v>
      </c>
      <c r="O23">
        <v>16425</v>
      </c>
      <c r="P23">
        <v>16675</v>
      </c>
      <c r="Q23">
        <v>16950</v>
      </c>
      <c r="R23">
        <v>16950</v>
      </c>
      <c r="S23">
        <v>17000</v>
      </c>
      <c r="T23">
        <v>17000</v>
      </c>
      <c r="U23">
        <v>17050</v>
      </c>
      <c r="V23">
        <v>17075</v>
      </c>
      <c r="W23">
        <v>17075</v>
      </c>
      <c r="X23">
        <v>17025</v>
      </c>
      <c r="Y23">
        <v>16550</v>
      </c>
      <c r="Z23" s="3"/>
    </row>
    <row r="24" spans="1:26" x14ac:dyDescent="0.25">
      <c r="A24" t="s">
        <v>26</v>
      </c>
      <c r="B24">
        <v>15400</v>
      </c>
      <c r="C24">
        <v>13825</v>
      </c>
      <c r="D24">
        <v>12475</v>
      </c>
      <c r="E24">
        <v>11625</v>
      </c>
      <c r="F24">
        <v>11125</v>
      </c>
      <c r="G24">
        <v>10725</v>
      </c>
      <c r="H24">
        <v>10475</v>
      </c>
      <c r="I24">
        <v>10325</v>
      </c>
      <c r="J24">
        <v>10250</v>
      </c>
      <c r="K24">
        <v>10200</v>
      </c>
      <c r="L24">
        <v>10100</v>
      </c>
      <c r="M24">
        <v>10100</v>
      </c>
      <c r="N24">
        <v>10075</v>
      </c>
      <c r="O24">
        <v>10075</v>
      </c>
      <c r="P24">
        <v>9985</v>
      </c>
      <c r="Q24">
        <v>10000</v>
      </c>
      <c r="R24">
        <v>10025</v>
      </c>
      <c r="S24">
        <v>10050</v>
      </c>
      <c r="T24">
        <v>10075</v>
      </c>
      <c r="U24">
        <v>10100</v>
      </c>
      <c r="V24">
        <v>10050</v>
      </c>
      <c r="W24">
        <v>10100</v>
      </c>
      <c r="X24">
        <v>10100</v>
      </c>
      <c r="Y24">
        <v>10100</v>
      </c>
      <c r="Z24" s="3"/>
    </row>
    <row r="25" spans="1:26" x14ac:dyDescent="0.25">
      <c r="A25" t="s">
        <v>27</v>
      </c>
      <c r="B25">
        <v>10075</v>
      </c>
      <c r="C25">
        <v>10100</v>
      </c>
      <c r="D25">
        <v>10100</v>
      </c>
      <c r="E25">
        <v>10075</v>
      </c>
      <c r="F25">
        <v>10025</v>
      </c>
      <c r="G25">
        <v>10000</v>
      </c>
      <c r="H25">
        <v>10075</v>
      </c>
      <c r="I25">
        <v>10100</v>
      </c>
      <c r="J25">
        <v>10100</v>
      </c>
      <c r="K25">
        <v>10100</v>
      </c>
      <c r="L25">
        <v>10100</v>
      </c>
      <c r="M25">
        <v>10100</v>
      </c>
      <c r="N25">
        <v>10100</v>
      </c>
      <c r="O25">
        <v>10150</v>
      </c>
      <c r="P25">
        <v>10100</v>
      </c>
      <c r="Q25">
        <v>10100</v>
      </c>
      <c r="R25">
        <v>10125</v>
      </c>
      <c r="S25">
        <v>10100</v>
      </c>
      <c r="T25">
        <v>10100</v>
      </c>
      <c r="U25">
        <v>10100</v>
      </c>
      <c r="V25">
        <v>10150</v>
      </c>
      <c r="W25">
        <v>10200</v>
      </c>
      <c r="X25">
        <v>10200</v>
      </c>
      <c r="Y25">
        <v>10100</v>
      </c>
    </row>
    <row r="26" spans="1:26" x14ac:dyDescent="0.25">
      <c r="A26" t="s">
        <v>28</v>
      </c>
      <c r="B26">
        <v>10125</v>
      </c>
      <c r="C26">
        <v>10100</v>
      </c>
      <c r="D26">
        <v>10100</v>
      </c>
      <c r="E26">
        <v>9945</v>
      </c>
      <c r="F26">
        <v>9682.5</v>
      </c>
      <c r="G26">
        <v>9402.5</v>
      </c>
      <c r="H26">
        <v>9462.5</v>
      </c>
      <c r="I26">
        <v>9917.5</v>
      </c>
      <c r="J26">
        <v>11000</v>
      </c>
      <c r="K26">
        <v>12750</v>
      </c>
      <c r="L26">
        <v>14500</v>
      </c>
      <c r="M26">
        <v>15625</v>
      </c>
      <c r="N26">
        <v>16050</v>
      </c>
      <c r="O26">
        <v>16375</v>
      </c>
      <c r="P26">
        <v>16625</v>
      </c>
      <c r="Q26">
        <v>16800</v>
      </c>
      <c r="R26">
        <v>16925</v>
      </c>
      <c r="S26">
        <v>17000</v>
      </c>
      <c r="T26">
        <v>17100</v>
      </c>
      <c r="U26">
        <v>17100</v>
      </c>
      <c r="V26">
        <v>17150</v>
      </c>
      <c r="W26">
        <v>17150</v>
      </c>
      <c r="X26">
        <v>17050</v>
      </c>
      <c r="Y26">
        <v>16525</v>
      </c>
    </row>
    <row r="27" spans="1:26" x14ac:dyDescent="0.25">
      <c r="A27" t="s">
        <v>29</v>
      </c>
      <c r="B27">
        <v>15450</v>
      </c>
      <c r="C27">
        <v>13950</v>
      </c>
      <c r="D27">
        <v>12475</v>
      </c>
      <c r="E27">
        <v>11200</v>
      </c>
      <c r="F27">
        <v>10300</v>
      </c>
      <c r="G27">
        <v>9710</v>
      </c>
      <c r="H27">
        <v>9537.5</v>
      </c>
      <c r="I27">
        <v>9842.5</v>
      </c>
      <c r="J27">
        <v>10825</v>
      </c>
      <c r="K27">
        <v>12100</v>
      </c>
      <c r="L27">
        <v>13475</v>
      </c>
      <c r="M27">
        <v>14650</v>
      </c>
      <c r="N27">
        <v>15550</v>
      </c>
      <c r="O27">
        <v>16050</v>
      </c>
      <c r="P27">
        <v>16450</v>
      </c>
      <c r="Q27">
        <v>16500</v>
      </c>
      <c r="R27">
        <v>16625</v>
      </c>
      <c r="S27">
        <v>16675</v>
      </c>
      <c r="T27">
        <v>16675</v>
      </c>
      <c r="U27">
        <v>16700</v>
      </c>
      <c r="V27">
        <v>16700</v>
      </c>
      <c r="W27">
        <v>16675</v>
      </c>
      <c r="X27">
        <v>16750</v>
      </c>
      <c r="Y27">
        <v>16525</v>
      </c>
    </row>
    <row r="28" spans="1:26" x14ac:dyDescent="0.25">
      <c r="A28" t="s">
        <v>30</v>
      </c>
      <c r="B28">
        <v>15825</v>
      </c>
      <c r="C28">
        <v>14500</v>
      </c>
      <c r="D28">
        <v>13075</v>
      </c>
      <c r="E28">
        <v>11775</v>
      </c>
      <c r="F28">
        <v>10725</v>
      </c>
      <c r="G28">
        <v>9975</v>
      </c>
      <c r="H28">
        <v>9740</v>
      </c>
      <c r="I28">
        <v>10027.5</v>
      </c>
      <c r="J28">
        <v>11050</v>
      </c>
      <c r="K28">
        <v>12350</v>
      </c>
      <c r="L28">
        <v>13675</v>
      </c>
      <c r="M28">
        <v>14550</v>
      </c>
      <c r="N28">
        <v>15275</v>
      </c>
      <c r="O28">
        <v>15925</v>
      </c>
      <c r="P28">
        <v>16450</v>
      </c>
      <c r="Q28">
        <v>16675</v>
      </c>
      <c r="R28">
        <v>16800</v>
      </c>
      <c r="S28">
        <v>16825</v>
      </c>
      <c r="T28">
        <v>16925</v>
      </c>
      <c r="U28">
        <v>16875</v>
      </c>
      <c r="V28">
        <v>16900</v>
      </c>
      <c r="W28">
        <v>16950</v>
      </c>
      <c r="X28">
        <v>16925</v>
      </c>
      <c r="Y28">
        <v>16475</v>
      </c>
    </row>
    <row r="29" spans="1:26" x14ac:dyDescent="0.25">
      <c r="A29" t="s">
        <v>31</v>
      </c>
      <c r="B29">
        <v>15425</v>
      </c>
      <c r="C29">
        <v>13925</v>
      </c>
      <c r="D29">
        <v>12500</v>
      </c>
      <c r="E29">
        <v>11400</v>
      </c>
      <c r="F29">
        <v>10475</v>
      </c>
      <c r="G29">
        <v>9845</v>
      </c>
      <c r="H29">
        <v>9670</v>
      </c>
      <c r="I29">
        <v>9775</v>
      </c>
      <c r="J29">
        <v>10450</v>
      </c>
      <c r="K29">
        <v>11700</v>
      </c>
      <c r="L29">
        <v>13350</v>
      </c>
      <c r="M29">
        <v>14800</v>
      </c>
      <c r="N29">
        <v>15775</v>
      </c>
      <c r="O29">
        <v>16275</v>
      </c>
      <c r="P29">
        <v>16575</v>
      </c>
      <c r="Q29">
        <v>16775</v>
      </c>
      <c r="R29">
        <v>16850</v>
      </c>
      <c r="S29">
        <v>16900</v>
      </c>
      <c r="T29">
        <v>16975</v>
      </c>
      <c r="U29">
        <v>16900</v>
      </c>
      <c r="V29">
        <v>16875</v>
      </c>
      <c r="W29">
        <v>16800</v>
      </c>
      <c r="X29">
        <v>16775</v>
      </c>
      <c r="Y29">
        <v>16200</v>
      </c>
    </row>
    <row r="30" spans="1:26" x14ac:dyDescent="0.25">
      <c r="A30" t="s">
        <v>32</v>
      </c>
      <c r="B30">
        <v>15150</v>
      </c>
      <c r="C30">
        <v>13625</v>
      </c>
      <c r="D30">
        <v>12325</v>
      </c>
      <c r="E30">
        <v>11225</v>
      </c>
      <c r="F30">
        <v>10400</v>
      </c>
      <c r="G30">
        <v>9802.5</v>
      </c>
      <c r="H30">
        <v>9667.5</v>
      </c>
      <c r="I30">
        <v>10005</v>
      </c>
      <c r="J30">
        <v>10975</v>
      </c>
      <c r="K30">
        <v>12250</v>
      </c>
      <c r="L30">
        <v>13550</v>
      </c>
      <c r="M30">
        <v>14725</v>
      </c>
      <c r="N30">
        <v>15625</v>
      </c>
      <c r="O30">
        <v>16175</v>
      </c>
      <c r="P30">
        <v>16425</v>
      </c>
      <c r="Q30">
        <v>16625</v>
      </c>
      <c r="R30">
        <v>16700</v>
      </c>
      <c r="S30">
        <v>16700</v>
      </c>
      <c r="T30">
        <v>16750</v>
      </c>
      <c r="U30">
        <v>16775</v>
      </c>
      <c r="V30">
        <v>16750</v>
      </c>
      <c r="W30">
        <v>16875</v>
      </c>
      <c r="X30">
        <v>16900</v>
      </c>
      <c r="Y30">
        <v>16450</v>
      </c>
    </row>
    <row r="31" spans="1:26" x14ac:dyDescent="0.25">
      <c r="A31" t="s">
        <v>33</v>
      </c>
      <c r="B31">
        <v>15425</v>
      </c>
      <c r="C31">
        <v>13950</v>
      </c>
      <c r="D31">
        <v>12575</v>
      </c>
      <c r="E31">
        <v>11575</v>
      </c>
      <c r="F31">
        <v>10925</v>
      </c>
      <c r="G31">
        <v>10500</v>
      </c>
      <c r="H31">
        <v>10275</v>
      </c>
      <c r="I31">
        <v>10150</v>
      </c>
      <c r="J31">
        <v>10100</v>
      </c>
      <c r="K31">
        <v>10025</v>
      </c>
      <c r="L31">
        <v>10000</v>
      </c>
      <c r="M31">
        <v>10000</v>
      </c>
      <c r="N31">
        <v>10000</v>
      </c>
      <c r="O31">
        <v>10000</v>
      </c>
      <c r="P31">
        <v>10000</v>
      </c>
      <c r="Q31">
        <v>10000</v>
      </c>
      <c r="R31">
        <v>10000</v>
      </c>
      <c r="S31">
        <v>10000</v>
      </c>
      <c r="T31">
        <v>10000</v>
      </c>
      <c r="U31">
        <v>10000</v>
      </c>
      <c r="V31">
        <v>10000</v>
      </c>
      <c r="W31">
        <v>10000</v>
      </c>
      <c r="X31">
        <v>10000</v>
      </c>
      <c r="Y31">
        <v>10000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41</v>
      </c>
    </row>
  </sheetData>
  <pageMargins left="0.7" right="0.7" top="0.75" bottom="0.75" header="0.3" footer="0.3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1" sqref="I11"/>
    </sheetView>
  </sheetViews>
  <sheetFormatPr defaultRowHeight="15" x14ac:dyDescent="0.25"/>
  <sheetData>
    <row r="1" spans="1:1" x14ac:dyDescent="0.25">
      <c r="A1">
        <v>32000</v>
      </c>
    </row>
  </sheetData>
  <pageMargins left="0.7" right="0.7" top="0.75" bottom="0.75" header="0.3" footer="0.3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N14" sqref="N14"/>
    </sheetView>
  </sheetViews>
  <sheetFormatPr defaultRowHeight="15" x14ac:dyDescent="0.25"/>
  <sheetData>
    <row r="1" spans="1:3" x14ac:dyDescent="0.25">
      <c r="B1" t="s">
        <v>35</v>
      </c>
      <c r="C1" t="s">
        <v>34</v>
      </c>
    </row>
    <row r="2" spans="1:3" x14ac:dyDescent="0.25">
      <c r="A2" t="s">
        <v>4</v>
      </c>
      <c r="B2">
        <v>11112.1875</v>
      </c>
      <c r="C2">
        <v>15985.9375</v>
      </c>
    </row>
    <row r="3" spans="1:3" x14ac:dyDescent="0.25">
      <c r="A3" t="s">
        <v>5</v>
      </c>
      <c r="B3">
        <v>12012.5</v>
      </c>
      <c r="C3">
        <v>10132.8125</v>
      </c>
    </row>
    <row r="4" spans="1:3" x14ac:dyDescent="0.25">
      <c r="A4" t="s">
        <v>6</v>
      </c>
      <c r="B4">
        <v>10153.125</v>
      </c>
      <c r="C4">
        <v>10143.75</v>
      </c>
    </row>
    <row r="5" spans="1:3" x14ac:dyDescent="0.25">
      <c r="A5" t="s">
        <v>7</v>
      </c>
      <c r="B5">
        <v>9902.8125</v>
      </c>
      <c r="C5">
        <v>15932.8125</v>
      </c>
    </row>
    <row r="6" spans="1:3" x14ac:dyDescent="0.25">
      <c r="A6" t="s">
        <v>8</v>
      </c>
      <c r="B6">
        <v>11627.1875</v>
      </c>
      <c r="C6">
        <v>15578.125</v>
      </c>
    </row>
    <row r="7" spans="1:3" x14ac:dyDescent="0.25">
      <c r="A7" t="s">
        <v>9</v>
      </c>
      <c r="B7">
        <v>12015.625</v>
      </c>
      <c r="C7">
        <v>15440.625</v>
      </c>
    </row>
    <row r="8" spans="1:3" x14ac:dyDescent="0.25">
      <c r="A8" t="s">
        <v>10</v>
      </c>
      <c r="B8">
        <v>11479.0625</v>
      </c>
      <c r="C8">
        <v>15657.03125</v>
      </c>
    </row>
    <row r="9" spans="1:3" x14ac:dyDescent="0.25">
      <c r="A9" t="s">
        <v>11</v>
      </c>
      <c r="B9">
        <v>12286.5625</v>
      </c>
      <c r="C9">
        <v>15711.40625</v>
      </c>
    </row>
    <row r="10" spans="1:3" x14ac:dyDescent="0.25">
      <c r="A10" t="s">
        <v>12</v>
      </c>
      <c r="B10">
        <v>11918.75</v>
      </c>
      <c r="C10">
        <v>10129.6875</v>
      </c>
    </row>
    <row r="11" spans="1:3" x14ac:dyDescent="0.25">
      <c r="A11" t="s">
        <v>13</v>
      </c>
      <c r="B11">
        <v>10078.125</v>
      </c>
      <c r="C11">
        <v>10139.0625</v>
      </c>
    </row>
    <row r="12" spans="1:3" x14ac:dyDescent="0.25">
      <c r="A12" t="s">
        <v>14</v>
      </c>
      <c r="B12">
        <v>9820.625</v>
      </c>
      <c r="C12">
        <v>15621.875</v>
      </c>
    </row>
    <row r="13" spans="1:3" x14ac:dyDescent="0.25">
      <c r="A13" t="s">
        <v>15</v>
      </c>
      <c r="B13">
        <v>12606.25</v>
      </c>
      <c r="C13">
        <v>15828.125</v>
      </c>
    </row>
    <row r="14" spans="1:3" x14ac:dyDescent="0.25">
      <c r="A14" t="s">
        <v>16</v>
      </c>
      <c r="B14">
        <v>11501.5625</v>
      </c>
      <c r="C14">
        <v>15723.4375</v>
      </c>
    </row>
    <row r="15" spans="1:3" x14ac:dyDescent="0.25">
      <c r="A15" t="s">
        <v>17</v>
      </c>
      <c r="B15">
        <v>11688.125</v>
      </c>
      <c r="C15">
        <v>15878.125</v>
      </c>
    </row>
    <row r="16" spans="1:3" x14ac:dyDescent="0.25">
      <c r="A16" t="s">
        <v>18</v>
      </c>
      <c r="B16">
        <v>11701.25</v>
      </c>
      <c r="C16">
        <v>15667.1875</v>
      </c>
    </row>
    <row r="17" spans="1:3" x14ac:dyDescent="0.25">
      <c r="A17" t="s">
        <v>19</v>
      </c>
      <c r="B17">
        <v>11893.75</v>
      </c>
      <c r="C17">
        <v>10057.8125</v>
      </c>
    </row>
    <row r="18" spans="1:3" x14ac:dyDescent="0.25">
      <c r="A18" t="s">
        <v>20</v>
      </c>
      <c r="B18">
        <v>10036.875</v>
      </c>
      <c r="C18">
        <v>9990.46875</v>
      </c>
    </row>
    <row r="19" spans="1:3" x14ac:dyDescent="0.25">
      <c r="A19" t="s">
        <v>21</v>
      </c>
      <c r="B19">
        <v>9774.0625</v>
      </c>
      <c r="C19">
        <v>15776.5625</v>
      </c>
    </row>
    <row r="20" spans="1:3" x14ac:dyDescent="0.25">
      <c r="A20" t="s">
        <v>22</v>
      </c>
      <c r="B20">
        <v>11620.625</v>
      </c>
      <c r="C20">
        <v>15931.25</v>
      </c>
    </row>
    <row r="21" spans="1:3" x14ac:dyDescent="0.25">
      <c r="A21" t="s">
        <v>23</v>
      </c>
      <c r="B21">
        <v>11769.6875</v>
      </c>
      <c r="C21">
        <v>15610.9375</v>
      </c>
    </row>
    <row r="22" spans="1:3" x14ac:dyDescent="0.25">
      <c r="A22" t="s">
        <v>24</v>
      </c>
      <c r="B22">
        <v>11582.5</v>
      </c>
      <c r="C22">
        <v>15826.5625</v>
      </c>
    </row>
    <row r="23" spans="1:3" x14ac:dyDescent="0.25">
      <c r="A23" t="s">
        <v>25</v>
      </c>
      <c r="B23">
        <v>11630.625</v>
      </c>
      <c r="C23">
        <v>15867.1875</v>
      </c>
    </row>
    <row r="24" spans="1:3" x14ac:dyDescent="0.25">
      <c r="A24" t="s">
        <v>26</v>
      </c>
      <c r="B24">
        <v>11996.875</v>
      </c>
      <c r="C24">
        <v>10086.5625</v>
      </c>
    </row>
    <row r="25" spans="1:3" x14ac:dyDescent="0.25">
      <c r="A25" t="s">
        <v>27</v>
      </c>
      <c r="B25">
        <v>10068.75</v>
      </c>
      <c r="C25">
        <v>10120.3125</v>
      </c>
    </row>
    <row r="26" spans="1:3" x14ac:dyDescent="0.25">
      <c r="A26" t="s">
        <v>28</v>
      </c>
      <c r="B26">
        <v>9841.875</v>
      </c>
      <c r="C26">
        <v>15982.8125</v>
      </c>
    </row>
    <row r="27" spans="1:3" x14ac:dyDescent="0.25">
      <c r="A27" t="s">
        <v>29</v>
      </c>
      <c r="B27">
        <v>11558.125</v>
      </c>
      <c r="C27">
        <v>15557.8125</v>
      </c>
    </row>
    <row r="28" spans="1:3" x14ac:dyDescent="0.25">
      <c r="A28" t="s">
        <v>30</v>
      </c>
      <c r="B28">
        <v>11955.3125</v>
      </c>
      <c r="C28">
        <v>15664.0625</v>
      </c>
    </row>
    <row r="29" spans="1:3" x14ac:dyDescent="0.25">
      <c r="A29" t="s">
        <v>31</v>
      </c>
      <c r="B29">
        <v>11626.875</v>
      </c>
      <c r="C29">
        <v>15623.4375</v>
      </c>
    </row>
    <row r="30" spans="1:3" x14ac:dyDescent="0.25">
      <c r="A30" t="s">
        <v>32</v>
      </c>
      <c r="B30">
        <v>11525</v>
      </c>
      <c r="C30">
        <v>15640.625</v>
      </c>
    </row>
    <row r="31" spans="1:3" x14ac:dyDescent="0.25">
      <c r="A31" t="s">
        <v>33</v>
      </c>
      <c r="B31">
        <v>11921.875</v>
      </c>
      <c r="C31">
        <v>10007.8125</v>
      </c>
    </row>
  </sheetData>
  <pageMargins left="0.7" right="0.7" top="0.75" bottom="0.75" header="0.3" footer="0.3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H25" sqref="H25"/>
    </sheetView>
  </sheetViews>
  <sheetFormatPr defaultRowHeight="15" x14ac:dyDescent="0.25"/>
  <cols>
    <col min="2" max="2" width="11.5703125" bestFit="1" customWidth="1"/>
    <col min="6" max="6" width="9.5703125" bestFit="1" customWidth="1"/>
    <col min="8" max="8" width="11.140625" bestFit="1" customWidth="1"/>
    <col min="9" max="9" width="29.85546875" customWidth="1"/>
  </cols>
  <sheetData>
    <row r="1" spans="1:9" x14ac:dyDescent="0.25">
      <c r="B1" t="s">
        <v>66</v>
      </c>
    </row>
    <row r="2" spans="1:9" x14ac:dyDescent="0.25">
      <c r="A2" t="s">
        <v>42</v>
      </c>
      <c r="B2" s="4">
        <v>24.64</v>
      </c>
      <c r="D2" s="4"/>
      <c r="E2" s="2"/>
      <c r="F2" s="2"/>
      <c r="G2" s="4"/>
      <c r="H2" s="2"/>
      <c r="I2" s="4"/>
    </row>
    <row r="3" spans="1:9" x14ac:dyDescent="0.25">
      <c r="A3" t="s">
        <v>43</v>
      </c>
      <c r="B3" s="4">
        <v>24.54</v>
      </c>
      <c r="D3" s="4"/>
      <c r="E3" s="2"/>
      <c r="F3" s="2"/>
      <c r="G3" s="4"/>
      <c r="H3" s="2"/>
      <c r="I3" s="4"/>
    </row>
    <row r="4" spans="1:9" x14ac:dyDescent="0.25">
      <c r="A4" t="s">
        <v>44</v>
      </c>
      <c r="B4" s="4">
        <v>24.53</v>
      </c>
      <c r="D4" s="4"/>
      <c r="E4" s="2"/>
      <c r="F4" s="2"/>
      <c r="G4" s="4"/>
      <c r="H4" s="2"/>
      <c r="I4" s="4"/>
    </row>
    <row r="5" spans="1:9" x14ac:dyDescent="0.25">
      <c r="A5" t="s">
        <v>45</v>
      </c>
      <c r="B5" s="4">
        <v>24.53</v>
      </c>
      <c r="D5" s="4"/>
      <c r="E5" s="2"/>
      <c r="F5" s="2"/>
      <c r="G5" s="4"/>
      <c r="H5" s="2"/>
      <c r="I5" s="4"/>
    </row>
    <row r="6" spans="1:9" x14ac:dyDescent="0.25">
      <c r="A6" t="s">
        <v>46</v>
      </c>
      <c r="B6" s="4">
        <v>24.54</v>
      </c>
      <c r="D6" s="4"/>
      <c r="E6" s="2"/>
      <c r="F6" s="2"/>
      <c r="G6" s="4"/>
      <c r="H6" s="2"/>
      <c r="I6" s="4"/>
    </row>
    <row r="7" spans="1:9" x14ac:dyDescent="0.25">
      <c r="A7" t="s">
        <v>47</v>
      </c>
      <c r="B7" s="4">
        <v>24.56</v>
      </c>
      <c r="D7" s="4"/>
      <c r="E7" s="2"/>
      <c r="F7" s="2"/>
      <c r="G7" s="4"/>
      <c r="H7" s="2"/>
      <c r="I7" s="4"/>
    </row>
    <row r="8" spans="1:9" x14ac:dyDescent="0.25">
      <c r="A8" t="s">
        <v>48</v>
      </c>
      <c r="B8" s="4">
        <v>24.58</v>
      </c>
      <c r="D8" s="4"/>
      <c r="E8" s="2"/>
      <c r="F8" s="2"/>
      <c r="G8" s="4"/>
      <c r="H8" s="2"/>
      <c r="I8" s="4"/>
    </row>
    <row r="9" spans="1:9" x14ac:dyDescent="0.25">
      <c r="A9" t="s">
        <v>49</v>
      </c>
      <c r="B9" s="4">
        <v>24.59</v>
      </c>
      <c r="D9" s="4"/>
      <c r="E9" s="2"/>
      <c r="F9" s="2"/>
      <c r="G9" s="4"/>
      <c r="H9" s="2"/>
      <c r="I9" s="4"/>
    </row>
    <row r="10" spans="1:9" x14ac:dyDescent="0.25">
      <c r="A10" t="s">
        <v>50</v>
      </c>
      <c r="B10" s="4">
        <v>40.49</v>
      </c>
      <c r="D10" s="4"/>
      <c r="E10" s="2"/>
      <c r="F10" s="2"/>
      <c r="G10" s="4"/>
      <c r="H10" s="2"/>
      <c r="I10" s="4"/>
    </row>
    <row r="11" spans="1:9" x14ac:dyDescent="0.25">
      <c r="A11" t="s">
        <v>51</v>
      </c>
      <c r="B11" s="4">
        <v>40.81</v>
      </c>
      <c r="D11" s="4"/>
      <c r="E11" s="2"/>
      <c r="F11" s="4"/>
      <c r="G11" s="4"/>
      <c r="H11" s="2"/>
      <c r="I11" s="4"/>
    </row>
    <row r="12" spans="1:9" x14ac:dyDescent="0.25">
      <c r="A12" t="s">
        <v>52</v>
      </c>
      <c r="B12" s="4">
        <v>42.61</v>
      </c>
      <c r="D12" s="4"/>
      <c r="E12" s="2"/>
      <c r="F12" s="4"/>
      <c r="G12" s="4"/>
      <c r="H12" s="2"/>
      <c r="I12" s="4"/>
    </row>
    <row r="13" spans="1:9" x14ac:dyDescent="0.25">
      <c r="A13" t="s">
        <v>53</v>
      </c>
      <c r="B13" s="4">
        <v>49.17</v>
      </c>
      <c r="D13" s="4"/>
      <c r="E13" s="2"/>
      <c r="F13" s="4"/>
      <c r="G13" s="4"/>
      <c r="H13" s="2"/>
      <c r="I13" s="4"/>
    </row>
    <row r="14" spans="1:9" x14ac:dyDescent="0.25">
      <c r="A14" t="s">
        <v>54</v>
      </c>
      <c r="B14" s="4">
        <v>60.65</v>
      </c>
      <c r="D14" s="4"/>
      <c r="E14" s="2"/>
      <c r="F14" s="4"/>
      <c r="G14" s="4"/>
      <c r="H14" s="2"/>
      <c r="I14" s="4"/>
    </row>
    <row r="15" spans="1:9" x14ac:dyDescent="0.25">
      <c r="A15" t="s">
        <v>55</v>
      </c>
      <c r="B15" s="4">
        <v>69.44</v>
      </c>
      <c r="D15" s="4"/>
      <c r="E15" s="2"/>
      <c r="F15" s="4"/>
      <c r="G15" s="4"/>
      <c r="H15" s="2"/>
      <c r="I15" s="4"/>
    </row>
    <row r="16" spans="1:9" x14ac:dyDescent="0.25">
      <c r="A16" t="s">
        <v>56</v>
      </c>
      <c r="B16" s="4">
        <v>77.760000000000005</v>
      </c>
      <c r="D16" s="4"/>
      <c r="E16" s="2"/>
      <c r="F16" s="4"/>
      <c r="G16" s="4"/>
      <c r="H16" s="2"/>
      <c r="I16" s="4"/>
    </row>
    <row r="17" spans="1:9" x14ac:dyDescent="0.25">
      <c r="A17" t="s">
        <v>57</v>
      </c>
      <c r="B17" s="4">
        <v>82.38</v>
      </c>
      <c r="D17" s="4"/>
      <c r="E17" s="2"/>
      <c r="F17" s="4"/>
      <c r="G17" s="4"/>
      <c r="H17" s="2"/>
      <c r="I17" s="4"/>
    </row>
    <row r="18" spans="1:9" x14ac:dyDescent="0.25">
      <c r="A18" t="s">
        <v>58</v>
      </c>
      <c r="B18" s="4">
        <v>83.74</v>
      </c>
      <c r="D18" s="4"/>
      <c r="E18" s="2"/>
      <c r="F18" s="4"/>
      <c r="G18" s="4"/>
      <c r="H18" s="2"/>
      <c r="I18" s="4"/>
    </row>
    <row r="19" spans="1:9" x14ac:dyDescent="0.25">
      <c r="A19" t="s">
        <v>59</v>
      </c>
      <c r="B19" s="4">
        <v>83.18</v>
      </c>
      <c r="D19" s="4"/>
      <c r="E19" s="2"/>
      <c r="F19" s="4"/>
      <c r="G19" s="4"/>
      <c r="H19" s="2"/>
      <c r="I19" s="4"/>
    </row>
    <row r="20" spans="1:9" x14ac:dyDescent="0.25">
      <c r="A20" t="s">
        <v>60</v>
      </c>
      <c r="B20" s="4">
        <v>78.89</v>
      </c>
      <c r="D20" s="4"/>
      <c r="E20" s="2"/>
      <c r="F20" s="4"/>
      <c r="G20" s="4"/>
      <c r="H20" s="2"/>
      <c r="I20" s="4"/>
    </row>
    <row r="21" spans="1:9" x14ac:dyDescent="0.25">
      <c r="A21" t="s">
        <v>61</v>
      </c>
      <c r="B21" s="4">
        <v>70.319999999999993</v>
      </c>
      <c r="D21" s="4"/>
      <c r="E21" s="2"/>
      <c r="F21" s="4"/>
      <c r="G21" s="4"/>
      <c r="H21" s="2"/>
      <c r="I21" s="4"/>
    </row>
    <row r="22" spans="1:9" x14ac:dyDescent="0.25">
      <c r="A22" t="s">
        <v>62</v>
      </c>
      <c r="B22" s="4">
        <v>58.93</v>
      </c>
      <c r="D22" s="4"/>
      <c r="E22" s="2"/>
      <c r="F22" s="4"/>
      <c r="G22" s="4"/>
      <c r="H22" s="2"/>
      <c r="I22" s="4"/>
    </row>
    <row r="23" spans="1:9" x14ac:dyDescent="0.25">
      <c r="A23" t="s">
        <v>63</v>
      </c>
      <c r="B23" s="4">
        <v>60.87</v>
      </c>
      <c r="D23" s="4"/>
      <c r="E23" s="2"/>
      <c r="F23" s="4"/>
      <c r="G23" s="4"/>
      <c r="H23" s="2"/>
      <c r="I23" s="4"/>
    </row>
    <row r="24" spans="1:9" x14ac:dyDescent="0.25">
      <c r="A24" t="s">
        <v>64</v>
      </c>
      <c r="B24" s="4">
        <v>55.02</v>
      </c>
      <c r="D24" s="4"/>
      <c r="E24" s="2"/>
      <c r="F24" s="4"/>
      <c r="G24" s="4"/>
      <c r="H24" s="2"/>
      <c r="I24" s="4"/>
    </row>
    <row r="25" spans="1:9" x14ac:dyDescent="0.25">
      <c r="A25" t="s">
        <v>65</v>
      </c>
      <c r="B25" s="4">
        <v>41.17</v>
      </c>
      <c r="D25" s="4"/>
      <c r="E25" s="2"/>
      <c r="F25" s="4"/>
      <c r="G25" s="4"/>
      <c r="H25" s="2"/>
      <c r="I25" s="4"/>
    </row>
    <row r="26" spans="1:9" x14ac:dyDescent="0.25">
      <c r="B26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6" sqref="D6"/>
    </sheetView>
  </sheetViews>
  <sheetFormatPr defaultRowHeight="15" x14ac:dyDescent="0.25"/>
  <sheetData>
    <row r="1" spans="1:1" x14ac:dyDescent="0.25">
      <c r="A1">
        <v>8000</v>
      </c>
    </row>
  </sheetData>
  <pageMargins left="0.7" right="0.7" top="0.75" bottom="0.75" header="0.3" footer="0.3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opLeftCell="A10" workbookViewId="0">
      <selection activeCell="D30" sqref="D30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1" x14ac:dyDescent="0.25">
      <c r="A14" t="s">
        <v>17</v>
      </c>
    </row>
    <row r="15" spans="1:1" x14ac:dyDescent="0.25">
      <c r="A15" t="s">
        <v>18</v>
      </c>
    </row>
    <row r="16" spans="1:1" x14ac:dyDescent="0.25">
      <c r="A16" t="s">
        <v>19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29" spans="1:1" x14ac:dyDescent="0.25">
      <c r="A29" t="s">
        <v>32</v>
      </c>
    </row>
    <row r="30" spans="1:1" x14ac:dyDescent="0.25">
      <c r="A30" t="s">
        <v>33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11D9A44129940B43B40CA3D85CEDF" ma:contentTypeVersion="18" ma:contentTypeDescription="Create a new document." ma:contentTypeScope="" ma:versionID="4d3230833a9af235c7059fd096db93e8">
  <xsd:schema xmlns:xsd="http://www.w3.org/2001/XMLSchema" xmlns:xs="http://www.w3.org/2001/XMLSchema" xmlns:p="http://schemas.microsoft.com/office/2006/metadata/properties" xmlns:ns3="11077070-9532-4d19-b5a5-76589b65e791" xmlns:ns4="29526449-8d9b-479d-b23d-932bfbbd0f70" targetNamespace="http://schemas.microsoft.com/office/2006/metadata/properties" ma:root="true" ma:fieldsID="a74950293b851572838b7214b1e6140d" ns3:_="" ns4:_="">
    <xsd:import namespace="11077070-9532-4d19-b5a5-76589b65e791"/>
    <xsd:import namespace="29526449-8d9b-479d-b23d-932bfbbd0f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77070-9532-4d19-b5a5-76589b65e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26449-8d9b-479d-b23d-932bfbbd0f7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077070-9532-4d19-b5a5-76589b65e791" xsi:nil="true"/>
  </documentManagement>
</p:properties>
</file>

<file path=customXml/itemProps1.xml><?xml version="1.0" encoding="utf-8"?>
<ds:datastoreItem xmlns:ds="http://schemas.openxmlformats.org/officeDocument/2006/customXml" ds:itemID="{2E24573B-900C-41B7-9301-1BF7F3F452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77070-9532-4d19-b5a5-76589b65e791"/>
    <ds:schemaRef ds:uri="29526449-8d9b-479d-b23d-932bfbbd0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2F080B-A40E-4C96-A480-F820A4B0B2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79F418-3D81-41E1-A8E9-362646D9392A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terms/"/>
    <ds:schemaRef ds:uri="29526449-8d9b-479d-b23d-932bfbbd0f70"/>
    <ds:schemaRef ds:uri="11077070-9532-4d19-b5a5-76589b65e791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evap</vt:lpstr>
      <vt:lpstr>initstorage</vt:lpstr>
      <vt:lpstr>minstorage</vt:lpstr>
      <vt:lpstr>maxstorage</vt:lpstr>
      <vt:lpstr>Inflow</vt:lpstr>
      <vt:lpstr>Observed_release2018</vt:lpstr>
      <vt:lpstr>Sheet3</vt:lpstr>
      <vt:lpstr>Observed_Release(Hr)</vt:lpstr>
      <vt:lpstr>Reservoirs</vt:lpstr>
      <vt:lpstr>maxRel</vt:lpstr>
      <vt:lpstr>observed_new</vt:lpstr>
      <vt:lpstr>Rates</vt:lpstr>
      <vt:lpstr>minRel</vt:lpstr>
      <vt:lpstr>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MOAZZAM ALI RIND</dc:creator>
  <cp:lastModifiedBy>Mooz</cp:lastModifiedBy>
  <dcterms:created xsi:type="dcterms:W3CDTF">2015-06-05T18:17:20Z</dcterms:created>
  <dcterms:modified xsi:type="dcterms:W3CDTF">2026-07-23T22:16:44Z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0x01010023011D9A44129940B43B40CA3D85CEDF</vt:lpwstr>
  </property>
</Properties>
</file>